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3" sheetId="1" r:id="rId5"/>
  </sheets>
  <definedNames/>
  <calcPr/>
</workbook>
</file>

<file path=xl/sharedStrings.xml><?xml version="1.0" encoding="utf-8"?>
<sst xmlns="http://schemas.openxmlformats.org/spreadsheetml/2006/main" count="748" uniqueCount="329">
  <si>
    <t>id_salon</t>
  </si>
  <si>
    <t>nombre_salon</t>
  </si>
  <si>
    <t>estado_salon</t>
  </si>
  <si>
    <t>direccion_salon</t>
  </si>
  <si>
    <t>meses_activos</t>
  </si>
  <si>
    <t>cp_salon</t>
  </si>
  <si>
    <t>municipio_salon</t>
  </si>
  <si>
    <t>lat_salon</t>
  </si>
  <si>
    <t>lon_salon</t>
  </si>
  <si>
    <t>pax_calculado</t>
  </si>
  <si>
    <t>pax_formal_pista</t>
  </si>
  <si>
    <t>pax_informal_pista</t>
  </si>
  <si>
    <t>pax_informal_auditorio</t>
  </si>
  <si>
    <t>mt2_salon</t>
  </si>
  <si>
    <t>cantidad_eventos_salon</t>
  </si>
  <si>
    <t>total_invitados_salon</t>
  </si>
  <si>
    <t>costos_variables_salon</t>
  </si>
  <si>
    <t>costos_fijos_salon</t>
  </si>
  <si>
    <t>costos_totales_salon</t>
  </si>
  <si>
    <t>ventas_totales_salon</t>
  </si>
  <si>
    <t>rentabilidad_salon</t>
  </si>
  <si>
    <t>venta_x_evento_promedio_anual</t>
  </si>
  <si>
    <t>semaforo_ticket_evento_anual</t>
  </si>
  <si>
    <t>venta_promedio_invitado_anual</t>
  </si>
  <si>
    <t>venta_mensual_promedio_meses_activo</t>
  </si>
  <si>
    <t>retorno_sobre_alquiler (x)</t>
  </si>
  <si>
    <t>incidencia_alquiler_sobre_facturacion_anual</t>
  </si>
  <si>
    <t>participacion_margen</t>
  </si>
  <si>
    <t>semaforo_tipo_salon</t>
  </si>
  <si>
    <t>precio_pax</t>
  </si>
  <si>
    <t>precio_mt2</t>
  </si>
  <si>
    <t>med_pax</t>
  </si>
  <si>
    <t>med_mt2</t>
  </si>
  <si>
    <t>indice_global_desviacion_mediana</t>
  </si>
  <si>
    <t>semaforo_indice_global</t>
  </si>
  <si>
    <t>año</t>
  </si>
  <si>
    <t>precio_alquiler</t>
  </si>
  <si>
    <t>precio_por_mt2</t>
  </si>
  <si>
    <t>mt2_mercado</t>
  </si>
  <si>
    <t>semaforo_benchmarking</t>
  </si>
  <si>
    <t>semaforo_performance</t>
  </si>
  <si>
    <t>semaforo_eficiencia</t>
  </si>
  <si>
    <t>Acceso Oeste</t>
  </si>
  <si>
    <t>ACTIVO</t>
  </si>
  <si>
    <t>Autopista Acceso Oeste Km 31.5</t>
  </si>
  <si>
    <t>B1744</t>
  </si>
  <si>
    <t>Paso del Rey</t>
  </si>
  <si>
    <t>tier_3</t>
  </si>
  <si>
    <t>Tier 5</t>
  </si>
  <si>
    <t>revisar</t>
  </si>
  <si>
    <t>Acceso Oeste 2</t>
  </si>
  <si>
    <t>Colectora Sur Acceso Oeste 2850</t>
  </si>
  <si>
    <t>estándar</t>
  </si>
  <si>
    <t>Adrogue</t>
  </si>
  <si>
    <t>Amenedo 785</t>
  </si>
  <si>
    <t>B1846</t>
  </si>
  <si>
    <t>Adrogué</t>
  </si>
  <si>
    <t>tier_4</t>
  </si>
  <si>
    <t>Tier 4</t>
  </si>
  <si>
    <t>Avellaneda 1</t>
  </si>
  <si>
    <t>Av. Crisologo Larralde 1050</t>
  </si>
  <si>
    <t>B1873</t>
  </si>
  <si>
    <t>Avellaneda</t>
  </si>
  <si>
    <t>Tier 1</t>
  </si>
  <si>
    <t>favorable</t>
  </si>
  <si>
    <t>Avellaneda 2</t>
  </si>
  <si>
    <t>Avellaneda 3</t>
  </si>
  <si>
    <t>Gra Güemes 897</t>
  </si>
  <si>
    <t>Avellaneda 4</t>
  </si>
  <si>
    <t>Bella Vista / Hotel (17)</t>
  </si>
  <si>
    <t>Corrientes 1682</t>
  </si>
  <si>
    <t>B1661</t>
  </si>
  <si>
    <t>Bella Vista</t>
  </si>
  <si>
    <t>Tier 3</t>
  </si>
  <si>
    <t>Bella Vista 2</t>
  </si>
  <si>
    <t>Av. Gaspar Campos 1582</t>
  </si>
  <si>
    <t>San Miguel</t>
  </si>
  <si>
    <t>Benavidez 1</t>
  </si>
  <si>
    <t>Av. Gral. Juan Domingo Perón 6940</t>
  </si>
  <si>
    <t>B6940</t>
  </si>
  <si>
    <t>Benavidez</t>
  </si>
  <si>
    <t>Tier 2</t>
  </si>
  <si>
    <t>Benavidez 2</t>
  </si>
  <si>
    <t>Chilavert 601</t>
  </si>
  <si>
    <t>B1621</t>
  </si>
  <si>
    <t>Berazategui</t>
  </si>
  <si>
    <t>Avenida Rigolleu 1136</t>
  </si>
  <si>
    <t>B1884</t>
  </si>
  <si>
    <t>faltan datos</t>
  </si>
  <si>
    <t>Berazategui 2</t>
  </si>
  <si>
    <t>Avenida Rigolleu 2125</t>
  </si>
  <si>
    <t>Berisso</t>
  </si>
  <si>
    <t>ruta prov 10 B1923</t>
  </si>
  <si>
    <t>B1923</t>
  </si>
  <si>
    <t>Buen Ayre</t>
  </si>
  <si>
    <t>Camino del Buen Ayre y Panamericana</t>
  </si>
  <si>
    <t>B1609</t>
  </si>
  <si>
    <t>Boulogne</t>
  </si>
  <si>
    <t>CABA Boutique</t>
  </si>
  <si>
    <t>Bartolome Mitre 1265</t>
  </si>
  <si>
    <t>C1036</t>
  </si>
  <si>
    <t>San Nicolas</t>
  </si>
  <si>
    <t>Caballito 1</t>
  </si>
  <si>
    <t>Av Acoyte 754</t>
  </si>
  <si>
    <t>C1405</t>
  </si>
  <si>
    <t>Caballito</t>
  </si>
  <si>
    <t>tier_2</t>
  </si>
  <si>
    <t>Caballito 2</t>
  </si>
  <si>
    <t>Campana</t>
  </si>
  <si>
    <t>Ruta Panamericana 9 Km 80.5</t>
  </si>
  <si>
    <t>B2804</t>
  </si>
  <si>
    <t>Canning</t>
  </si>
  <si>
    <t>Lorenza Zenavilla 443</t>
  </si>
  <si>
    <t>B1804</t>
  </si>
  <si>
    <t>Champagnat Boutique</t>
  </si>
  <si>
    <t>Colectora Panamericana</t>
  </si>
  <si>
    <t>B1629</t>
  </si>
  <si>
    <t>Pilar</t>
  </si>
  <si>
    <t>Costanera 1</t>
  </si>
  <si>
    <t>Av. Rafael Obligado 6340/6920</t>
  </si>
  <si>
    <t>C1425</t>
  </si>
  <si>
    <t>Recoleta</t>
  </si>
  <si>
    <t>Costanera 2</t>
  </si>
  <si>
    <t>Av. Rafael Obligado 6880/6920</t>
  </si>
  <si>
    <t>Palermo</t>
  </si>
  <si>
    <t>Dardo Rocha</t>
  </si>
  <si>
    <t>Dardo Rocha 1810</t>
  </si>
  <si>
    <t>B1640</t>
  </si>
  <si>
    <t>Martínez</t>
  </si>
  <si>
    <t>Darwin 1</t>
  </si>
  <si>
    <t>Niceto Vega 5350</t>
  </si>
  <si>
    <t>C1414</t>
  </si>
  <si>
    <t>Darwin 2</t>
  </si>
  <si>
    <t>Del Viso</t>
  </si>
  <si>
    <t>Av. Ing. Eduardo Madero 630</t>
  </si>
  <si>
    <t>B1664</t>
  </si>
  <si>
    <t>DOT</t>
  </si>
  <si>
    <t>Vedia 3626</t>
  </si>
  <si>
    <t>C1430</t>
  </si>
  <si>
    <t>Saavedra</t>
  </si>
  <si>
    <t>Escobar</t>
  </si>
  <si>
    <t>Av Sarmiento (RP 25) N 1137</t>
  </si>
  <si>
    <t>B1625</t>
  </si>
  <si>
    <t>Belén de Escobar</t>
  </si>
  <si>
    <t>Haedo</t>
  </si>
  <si>
    <t>Av Pte Peron 1742</t>
  </si>
  <si>
    <t>B1706</t>
  </si>
  <si>
    <t>Morón</t>
  </si>
  <si>
    <t>Haedo 2</t>
  </si>
  <si>
    <t>C1037</t>
  </si>
  <si>
    <t>San Nicolás</t>
  </si>
  <si>
    <t>Hipodromo La Plata</t>
  </si>
  <si>
    <t>Calle 44 y Calle 115</t>
  </si>
  <si>
    <t>B1902</t>
  </si>
  <si>
    <t>La Plata</t>
  </si>
  <si>
    <t>House</t>
  </si>
  <si>
    <t>Sarmiento 4522</t>
  </si>
  <si>
    <t>B1665</t>
  </si>
  <si>
    <t>José C. Paz</t>
  </si>
  <si>
    <t>Hudson</t>
  </si>
  <si>
    <t>AU Bs.As. - La Plata, Km 34.5</t>
  </si>
  <si>
    <t>B1885</t>
  </si>
  <si>
    <t>Hudson 2</t>
  </si>
  <si>
    <t>AU Bs.As. - La Plata, Km 41</t>
  </si>
  <si>
    <t>Hurlingham</t>
  </si>
  <si>
    <t>Pedro Diaz 1800</t>
  </si>
  <si>
    <t>B1686</t>
  </si>
  <si>
    <t>William C. Morris</t>
  </si>
  <si>
    <t>Ituzaingo</t>
  </si>
  <si>
    <t>Jose Maria Paz 1628</t>
  </si>
  <si>
    <t>B1714</t>
  </si>
  <si>
    <t>Ituzaingó</t>
  </si>
  <si>
    <t>Ituzaingo 2</t>
  </si>
  <si>
    <t>Olivera 1444</t>
  </si>
  <si>
    <t>Jose C Paz</t>
  </si>
  <si>
    <t>Av. Pres. Hipolito Yrigoyen 399</t>
  </si>
  <si>
    <t>B1660</t>
  </si>
  <si>
    <t>Calle 60, N 1836</t>
  </si>
  <si>
    <t>B1904</t>
  </si>
  <si>
    <t>Los Hornos</t>
  </si>
  <si>
    <t>Liniers</t>
  </si>
  <si>
    <t>Larrazabal 557</t>
  </si>
  <si>
    <t>C1408</t>
  </si>
  <si>
    <t>Lomas Boutique</t>
  </si>
  <si>
    <t>Gorriti 950</t>
  </si>
  <si>
    <t>B1832</t>
  </si>
  <si>
    <t>Lomas de Zamora</t>
  </si>
  <si>
    <t>Los Naranjos</t>
  </si>
  <si>
    <t>Ruta 88, Km 3.3</t>
  </si>
  <si>
    <t>B7600</t>
  </si>
  <si>
    <t>Mar del Plata</t>
  </si>
  <si>
    <t>Martinez</t>
  </si>
  <si>
    <t>Monseñor Larumbe 821</t>
  </si>
  <si>
    <t>Maschwitz</t>
  </si>
  <si>
    <t>Colectora Este Ramal Escobar 2555</t>
  </si>
  <si>
    <t>B1623</t>
  </si>
  <si>
    <t>Ingeniero Maschwitz</t>
  </si>
  <si>
    <t>Merlo</t>
  </si>
  <si>
    <t>Pringles 780</t>
  </si>
  <si>
    <t>B1722</t>
  </si>
  <si>
    <t>Merlo 2</t>
  </si>
  <si>
    <t>Moreno 2550</t>
  </si>
  <si>
    <t>Moreno</t>
  </si>
  <si>
    <t>Av Francisco Piovano 3787</t>
  </si>
  <si>
    <t>Moron</t>
  </si>
  <si>
    <t>Presidente Peron 4852</t>
  </si>
  <si>
    <t>B1708</t>
  </si>
  <si>
    <t>Nuñez</t>
  </si>
  <si>
    <t>Av Libertador 7501</t>
  </si>
  <si>
    <t>C1429</t>
  </si>
  <si>
    <t>Núñez</t>
  </si>
  <si>
    <t>Olivos</t>
  </si>
  <si>
    <t>Mariano Pelliza 310</t>
  </si>
  <si>
    <t>B1636</t>
  </si>
  <si>
    <t>Olivos 2</t>
  </si>
  <si>
    <t>Palacio Sans Souci</t>
  </si>
  <si>
    <t>Paz 705</t>
  </si>
  <si>
    <t>B1644</t>
  </si>
  <si>
    <t>Victoria</t>
  </si>
  <si>
    <t>Palermo Hollywood</t>
  </si>
  <si>
    <t>Arevalo 2020</t>
  </si>
  <si>
    <t>Palermo Soho</t>
  </si>
  <si>
    <t>Armenia 1353</t>
  </si>
  <si>
    <t>tier_1</t>
  </si>
  <si>
    <t>Paseo Colon</t>
  </si>
  <si>
    <t>Av Paseo Colon 301</t>
  </si>
  <si>
    <t>C1063</t>
  </si>
  <si>
    <t>Monserrat</t>
  </si>
  <si>
    <t>Panamericana Km 52</t>
  </si>
  <si>
    <t>Pilar boutique</t>
  </si>
  <si>
    <t>Emilio Casella 125</t>
  </si>
  <si>
    <t>B1631</t>
  </si>
  <si>
    <t>Pilar Hotel</t>
  </si>
  <si>
    <t>Jorge MANFREDI nro. 1455</t>
  </si>
  <si>
    <t>B1633</t>
  </si>
  <si>
    <t>Fatima</t>
  </si>
  <si>
    <t>Playa Grande</t>
  </si>
  <si>
    <t>Av. Patricio Peralta Ramos 5050</t>
  </si>
  <si>
    <t>B7602</t>
  </si>
  <si>
    <t>Puerto Madero</t>
  </si>
  <si>
    <t>Olga Cossettini 1031</t>
  </si>
  <si>
    <t>C1107</t>
  </si>
  <si>
    <t>Puerto Madero Boutique</t>
  </si>
  <si>
    <t>Av. Tristan A. Rodriguez 1353</t>
  </si>
  <si>
    <t>Quilmes Boutique</t>
  </si>
  <si>
    <t>General Savio 3151</t>
  </si>
  <si>
    <t>B1879</t>
  </si>
  <si>
    <t>Buenos Aires</t>
  </si>
  <si>
    <t>Ramos Boutique</t>
  </si>
  <si>
    <t>Alvear 508</t>
  </si>
  <si>
    <t>B1704</t>
  </si>
  <si>
    <t>Ramos Mejía</t>
  </si>
  <si>
    <t>Ramos Boutique 2</t>
  </si>
  <si>
    <t>Saavedra 649</t>
  </si>
  <si>
    <t>Ramos Mejia</t>
  </si>
  <si>
    <t>Av. de Mayo 1848</t>
  </si>
  <si>
    <t>Ramos Mejia 2</t>
  </si>
  <si>
    <t>San Isidro</t>
  </si>
  <si>
    <t>Av. Bernabe Marquez 700</t>
  </si>
  <si>
    <t>B1642</t>
  </si>
  <si>
    <t>San Justo</t>
  </si>
  <si>
    <t>Monseñor Bufano 1546</t>
  </si>
  <si>
    <t>B1753</t>
  </si>
  <si>
    <t>Villa Luzuriaga</t>
  </si>
  <si>
    <t>San Justo 2</t>
  </si>
  <si>
    <t>Facundo 1546</t>
  </si>
  <si>
    <t>San Martin 1</t>
  </si>
  <si>
    <t>Gral. Lavalle 8101</t>
  </si>
  <si>
    <t>B1657</t>
  </si>
  <si>
    <t>San Martin</t>
  </si>
  <si>
    <t>San Martin 2</t>
  </si>
  <si>
    <t>San Martin 3</t>
  </si>
  <si>
    <t>Gaspar Campos 2800</t>
  </si>
  <si>
    <t>B1663</t>
  </si>
  <si>
    <t>San Telmo</t>
  </si>
  <si>
    <t>Peru 330</t>
  </si>
  <si>
    <t>C1067</t>
  </si>
  <si>
    <t>San Telmo 2</t>
  </si>
  <si>
    <t>Moreno 550</t>
  </si>
  <si>
    <t>C1091</t>
  </si>
  <si>
    <t>San Telmo Boutique</t>
  </si>
  <si>
    <t>Mexico 334</t>
  </si>
  <si>
    <t>C1097</t>
  </si>
  <si>
    <t>Temperley</t>
  </si>
  <si>
    <t>Av 9 de Julio 802</t>
  </si>
  <si>
    <t>B1834</t>
  </si>
  <si>
    <t>Vicente Lopez</t>
  </si>
  <si>
    <t>Av Hipolito Yrigoyen 803</t>
  </si>
  <si>
    <t>B1638</t>
  </si>
  <si>
    <t>Vicente López</t>
  </si>
  <si>
    <t>Villa de Mayo</t>
  </si>
  <si>
    <t>Suiza 1451</t>
  </si>
  <si>
    <t>B1614</t>
  </si>
  <si>
    <t>Villa de Mayo Boutique</t>
  </si>
  <si>
    <t>José Maria Márquez 2417</t>
  </si>
  <si>
    <t>Beach</t>
  </si>
  <si>
    <t>INACTIVO</t>
  </si>
  <si>
    <t>Av de los Trabajadores 4700</t>
  </si>
  <si>
    <t>Estancia</t>
  </si>
  <si>
    <t>Ruta 1001, km 5, Rafael Castillo</t>
  </si>
  <si>
    <t>B1755</t>
  </si>
  <si>
    <t>Rafael Castillo</t>
  </si>
  <si>
    <t>General Rodriguez</t>
  </si>
  <si>
    <t>OBRA</t>
  </si>
  <si>
    <t>Av Gaona Km 51.500, Gral Rodriguez, Buenos Aires</t>
  </si>
  <si>
    <t>C1748</t>
  </si>
  <si>
    <t>General Rodríguez</t>
  </si>
  <si>
    <t>Holiday Inn</t>
  </si>
  <si>
    <t>Martin Miguel de Guemes, RN A002 numero 4718 Km 20, Ezeiza</t>
  </si>
  <si>
    <t>B1778</t>
  </si>
  <si>
    <t>Holiday Inn 2</t>
  </si>
  <si>
    <t>La Candelaria</t>
  </si>
  <si>
    <t>Ruta Nacional 205, Km 114.5, Lobos</t>
  </si>
  <si>
    <t>B7240</t>
  </si>
  <si>
    <t>Lobos</t>
  </si>
  <si>
    <t>La Plata 2</t>
  </si>
  <si>
    <t>Av 72 730, La Plata</t>
  </si>
  <si>
    <t>B1914</t>
  </si>
  <si>
    <t>La Plata Boutique</t>
  </si>
  <si>
    <t>Lomas</t>
  </si>
  <si>
    <t>Alsina 1757, Lomas de Zamora, Buenos Aires</t>
  </si>
  <si>
    <t>B1828</t>
  </si>
  <si>
    <t>Playa Grande 2</t>
  </si>
  <si>
    <t xml:space="preserve">Av. Patricio Peralta Ramos 5050 </t>
  </si>
  <si>
    <t>Quinta</t>
  </si>
  <si>
    <t>Ruta 8 km 42200</t>
  </si>
  <si>
    <t>B1669</t>
  </si>
  <si>
    <t>Av. Pueyrredon 2501, CABA</t>
  </si>
  <si>
    <t>C1119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</si>
</sst>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&quot;$&quot;#,##0"/>
  </numFmts>
  <fonts count="3">
    <font>
      <sz val="10.0"/>
      <color rgb="FF000000"/>
      <name val="Arial"/>
      <scheme val="minor"/>
    </font>
    <font>
      <b/>
      <i/>
      <color theme="1"/>
      <name val="Arial"/>
      <scheme val="minor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 vertical="center"/>
    </xf>
    <xf borderId="0" fillId="4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2" numFmtId="10" xfId="0" applyAlignment="1" applyFont="1" applyNumberFormat="1">
      <alignment horizontal="center" readingOrder="0" vertical="center"/>
    </xf>
    <xf borderId="0" fillId="0" fontId="2" numFmtId="10" xfId="0" applyAlignment="1" applyFont="1" applyNumberFormat="1">
      <alignment readingOrder="0"/>
    </xf>
    <xf borderId="0" fillId="0" fontId="2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7.75"/>
    <col customWidth="1" min="2" max="2" width="19.13"/>
    <col customWidth="1" min="3" max="3" width="11.63"/>
    <col customWidth="1" min="4" max="4" width="30.13"/>
    <col customWidth="1" min="5" max="5" width="12.88"/>
    <col customWidth="1" min="6" max="6" width="8.25"/>
    <col customWidth="1" min="7" max="7" width="16.25"/>
    <col customWidth="1" min="8" max="8" width="11.13"/>
    <col customWidth="1" min="9" max="9" width="11.25"/>
    <col customWidth="1" min="10" max="10" width="12.5"/>
    <col customWidth="1" min="11" max="11" width="14.75"/>
    <col customWidth="1" min="12" max="12" width="16.13"/>
    <col customWidth="1" min="13" max="13" width="19.38"/>
    <col customWidth="1" min="14" max="14" width="9.25"/>
    <col customWidth="1" min="15" max="15" width="20.38"/>
    <col customWidth="1" min="16" max="16" width="18.0"/>
    <col customWidth="1" min="17" max="17" width="19.75"/>
    <col customWidth="1" min="18" max="18" width="16.0"/>
    <col customWidth="1" min="19" max="19" width="18.0"/>
    <col customWidth="1" min="20" max="20" width="17.88"/>
    <col customWidth="1" min="21" max="21" width="15.75"/>
    <col customWidth="1" min="22" max="23" width="25.38"/>
    <col customWidth="1" min="24" max="24" width="26.5"/>
    <col customWidth="1" min="25" max="25" width="21.63"/>
    <col customWidth="1" min="26" max="27" width="24.88"/>
    <col customWidth="1" min="28" max="28" width="26.75"/>
    <col customWidth="1" min="29" max="29" width="17.75"/>
    <col customWidth="1" min="30" max="32" width="10.25"/>
    <col customWidth="1" min="33" max="33" width="9.38"/>
    <col customWidth="1" min="34" max="34" width="37.25"/>
    <col customWidth="1" min="35" max="35" width="20.13"/>
    <col customWidth="1" min="36" max="36" width="4.75"/>
    <col customWidth="1" min="37" max="38" width="13.5"/>
    <col customWidth="1" min="39" max="39" width="11.88"/>
    <col customWidth="1" min="40" max="42" width="22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3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3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3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3" t="s">
        <v>39</v>
      </c>
      <c r="AO1" s="3" t="s">
        <v>40</v>
      </c>
      <c r="AP1" s="3" t="s">
        <v>41</v>
      </c>
    </row>
    <row r="2">
      <c r="A2" s="4">
        <v>2.0</v>
      </c>
      <c r="B2" s="4" t="s">
        <v>42</v>
      </c>
      <c r="C2" s="4" t="s">
        <v>43</v>
      </c>
      <c r="D2" s="4" t="s">
        <v>44</v>
      </c>
      <c r="E2" s="4">
        <v>12.0</v>
      </c>
      <c r="F2" s="4" t="s">
        <v>45</v>
      </c>
      <c r="G2" s="4" t="s">
        <v>46</v>
      </c>
      <c r="H2" s="4">
        <v>-34.6300881</v>
      </c>
      <c r="I2" s="4">
        <v>-58.7367376</v>
      </c>
      <c r="J2" s="4">
        <v>159.0</v>
      </c>
      <c r="K2" s="4">
        <v>140.0</v>
      </c>
      <c r="L2" s="4">
        <v>200.0</v>
      </c>
      <c r="M2" s="4">
        <v>150.0</v>
      </c>
      <c r="N2" s="4">
        <v>616.0</v>
      </c>
      <c r="O2" s="4">
        <v>125.0</v>
      </c>
      <c r="P2" s="4">
        <v>11643.0</v>
      </c>
      <c r="Q2" s="5">
        <v>7.0822210816E8</v>
      </c>
      <c r="R2" s="6">
        <v>3.5735588E7</v>
      </c>
      <c r="S2" s="6">
        <v>1.1370491641599998E9</v>
      </c>
      <c r="T2" s="6">
        <v>2.114228578E9</v>
      </c>
      <c r="U2" s="4">
        <f t="shared" ref="U2:U12" si="1">(T2-S2)/T2</f>
        <v>0.4621919427</v>
      </c>
      <c r="V2" s="7">
        <v>1.6913829E7</v>
      </c>
      <c r="W2" s="4" t="s">
        <v>47</v>
      </c>
      <c r="X2" s="7">
        <v>181588.0</v>
      </c>
      <c r="Y2" s="6">
        <v>1.761857148E8</v>
      </c>
      <c r="Z2" s="4">
        <v>4.930259293</v>
      </c>
      <c r="AA2" s="4">
        <v>20.28290888</v>
      </c>
      <c r="AB2" s="8">
        <v>0.013</v>
      </c>
      <c r="AC2" s="4" t="s">
        <v>48</v>
      </c>
      <c r="AD2" s="6">
        <v>224752.13</v>
      </c>
      <c r="AE2" s="6">
        <v>58012.32</v>
      </c>
      <c r="AF2" s="6">
        <v>66382.4</v>
      </c>
      <c r="AG2" s="6">
        <v>14642.27</v>
      </c>
      <c r="AH2" s="4">
        <v>3.673847585</v>
      </c>
      <c r="AI2" s="4" t="s">
        <v>49</v>
      </c>
      <c r="AJ2" s="4">
        <v>2025.0</v>
      </c>
      <c r="AK2" s="6">
        <v>3.5735588E7</v>
      </c>
      <c r="AL2" s="6">
        <v>58012.32</v>
      </c>
      <c r="AM2" s="6">
        <v>5028.66</v>
      </c>
      <c r="AN2" s="8">
        <v>1.0536</v>
      </c>
      <c r="AO2" s="4">
        <v>35.87</v>
      </c>
      <c r="AP2" s="4">
        <v>3.673847585</v>
      </c>
    </row>
    <row r="3">
      <c r="A3" s="4">
        <v>127.0</v>
      </c>
      <c r="B3" s="4" t="s">
        <v>50</v>
      </c>
      <c r="C3" s="4" t="s">
        <v>43</v>
      </c>
      <c r="D3" s="4" t="s">
        <v>51</v>
      </c>
      <c r="E3" s="4">
        <v>8.0</v>
      </c>
      <c r="F3" s="4" t="s">
        <v>45</v>
      </c>
      <c r="G3" s="4" t="s">
        <v>46</v>
      </c>
      <c r="H3" s="4">
        <v>-34.612914</v>
      </c>
      <c r="I3" s="4">
        <v>-58.7697181</v>
      </c>
      <c r="J3" s="4">
        <v>370.0</v>
      </c>
      <c r="K3" s="4">
        <v>200.0</v>
      </c>
      <c r="L3" s="4">
        <v>700.0</v>
      </c>
      <c r="M3" s="4">
        <v>400.0</v>
      </c>
      <c r="N3" s="4">
        <v>870.0</v>
      </c>
      <c r="O3" s="4">
        <v>72.0</v>
      </c>
      <c r="P3" s="4">
        <v>7354.0</v>
      </c>
      <c r="Q3" s="5">
        <v>6.237064015E7</v>
      </c>
      <c r="R3" s="6">
        <v>1.8883743E7</v>
      </c>
      <c r="S3" s="6">
        <v>2.1344058415E8</v>
      </c>
      <c r="T3" s="6">
        <v>1.109485319E9</v>
      </c>
      <c r="U3" s="4">
        <f t="shared" si="1"/>
        <v>0.8076219843</v>
      </c>
      <c r="V3" s="7">
        <v>1.5409518E7</v>
      </c>
      <c r="W3" s="4" t="s">
        <v>47</v>
      </c>
      <c r="X3" s="7">
        <v>150868.0</v>
      </c>
      <c r="Y3" s="6">
        <v>1.386856649E8</v>
      </c>
      <c r="Z3" s="4">
        <v>7.34418303</v>
      </c>
      <c r="AA3" s="4">
        <v>13.61621839</v>
      </c>
      <c r="AB3" s="8">
        <v>0.0109</v>
      </c>
      <c r="AC3" s="4" t="s">
        <v>48</v>
      </c>
      <c r="AD3" s="6">
        <v>51037.14</v>
      </c>
      <c r="AE3" s="6">
        <v>21705.45</v>
      </c>
      <c r="AF3" s="6">
        <v>66382.4</v>
      </c>
      <c r="AG3" s="6">
        <v>14642.27</v>
      </c>
      <c r="AH3" s="4">
        <v>1.125609392</v>
      </c>
      <c r="AI3" s="4" t="s">
        <v>52</v>
      </c>
      <c r="AJ3" s="4">
        <v>2025.0</v>
      </c>
      <c r="AK3" s="6">
        <v>1.8883743E7</v>
      </c>
      <c r="AL3" s="6">
        <v>21705.45</v>
      </c>
      <c r="AM3" s="6">
        <v>5028.66</v>
      </c>
      <c r="AN3" s="8">
        <v>0.3316</v>
      </c>
      <c r="AO3" s="4">
        <v>38.69</v>
      </c>
      <c r="AP3" s="4">
        <v>1.125609392</v>
      </c>
    </row>
    <row r="4">
      <c r="A4" s="4">
        <v>107.0</v>
      </c>
      <c r="B4" s="4" t="s">
        <v>53</v>
      </c>
      <c r="C4" s="4" t="s">
        <v>43</v>
      </c>
      <c r="D4" s="4" t="s">
        <v>54</v>
      </c>
      <c r="E4" s="4">
        <v>12.0</v>
      </c>
      <c r="F4" s="4" t="s">
        <v>55</v>
      </c>
      <c r="G4" s="4" t="s">
        <v>56</v>
      </c>
      <c r="H4" s="4">
        <v>-34.7959349</v>
      </c>
      <c r="I4" s="4">
        <v>-58.3984409</v>
      </c>
      <c r="J4" s="4">
        <v>129.0</v>
      </c>
      <c r="K4" s="4">
        <v>100.0</v>
      </c>
      <c r="L4" s="4">
        <v>180.0</v>
      </c>
      <c r="M4" s="4">
        <v>150.0</v>
      </c>
      <c r="N4" s="4">
        <v>650.0</v>
      </c>
      <c r="O4" s="4">
        <v>141.0</v>
      </c>
      <c r="P4" s="4">
        <v>12839.0</v>
      </c>
      <c r="Q4" s="5">
        <v>2.6269792493E8</v>
      </c>
      <c r="R4" s="6">
        <v>1.9481495E7</v>
      </c>
      <c r="S4" s="6">
        <v>4.9647586493E8</v>
      </c>
      <c r="T4" s="6">
        <v>1.841515532E9</v>
      </c>
      <c r="U4" s="4">
        <f t="shared" si="1"/>
        <v>0.7303982202</v>
      </c>
      <c r="V4" s="7">
        <v>1.3060394E7</v>
      </c>
      <c r="W4" s="4" t="s">
        <v>57</v>
      </c>
      <c r="X4" s="7">
        <v>143431.0</v>
      </c>
      <c r="Y4" s="6">
        <v>1.534596277E8</v>
      </c>
      <c r="Z4" s="4">
        <v>7.877199756</v>
      </c>
      <c r="AA4" s="4">
        <v>12.69486659</v>
      </c>
      <c r="AB4" s="8">
        <v>0.0179</v>
      </c>
      <c r="AC4" s="4" t="s">
        <v>58</v>
      </c>
      <c r="AD4" s="6">
        <v>151019.34</v>
      </c>
      <c r="AE4" s="6">
        <v>29971.53</v>
      </c>
      <c r="AF4" s="6">
        <v>72808.9</v>
      </c>
      <c r="AG4" s="6">
        <v>16888.33</v>
      </c>
      <c r="AH4" s="4">
        <v>1.924438573</v>
      </c>
      <c r="AI4" s="4" t="s">
        <v>49</v>
      </c>
      <c r="AJ4" s="4">
        <v>2025.0</v>
      </c>
      <c r="AK4" s="6">
        <v>1.9481495E7</v>
      </c>
      <c r="AL4" s="6">
        <v>29971.53</v>
      </c>
      <c r="AM4" s="6">
        <v>8990.33</v>
      </c>
      <c r="AN4" s="8">
        <v>0.2334</v>
      </c>
      <c r="AO4" s="4">
        <v>49.0</v>
      </c>
      <c r="AP4" s="4">
        <v>1.924438573</v>
      </c>
    </row>
    <row r="5">
      <c r="A5" s="4">
        <v>48.0</v>
      </c>
      <c r="B5" s="4" t="s">
        <v>59</v>
      </c>
      <c r="C5" s="4" t="s">
        <v>43</v>
      </c>
      <c r="D5" s="4" t="s">
        <v>60</v>
      </c>
      <c r="E5" s="4">
        <v>12.0</v>
      </c>
      <c r="F5" s="4" t="s">
        <v>61</v>
      </c>
      <c r="G5" s="4" t="s">
        <v>62</v>
      </c>
      <c r="H5" s="4">
        <v>-34.6771759</v>
      </c>
      <c r="I5" s="4">
        <v>-58.3692651</v>
      </c>
      <c r="J5" s="4">
        <v>720.0</v>
      </c>
      <c r="K5" s="4">
        <v>300.0</v>
      </c>
      <c r="L5" s="4">
        <v>1500.0</v>
      </c>
      <c r="M5" s="4">
        <v>900.0</v>
      </c>
      <c r="N5" s="4">
        <v>1307.0</v>
      </c>
      <c r="O5" s="4">
        <v>71.0</v>
      </c>
      <c r="P5" s="4">
        <v>7719.0</v>
      </c>
      <c r="Q5" s="5">
        <v>9.9611051766E8</v>
      </c>
      <c r="R5" s="6">
        <v>3.3254461E7</v>
      </c>
      <c r="S5" s="6">
        <v>1.3951640496599998E9</v>
      </c>
      <c r="T5" s="6">
        <v>1.714686879E9</v>
      </c>
      <c r="U5" s="4">
        <f t="shared" si="1"/>
        <v>0.1863447101</v>
      </c>
      <c r="V5" s="7">
        <v>2.4150519E7</v>
      </c>
      <c r="W5" s="4" t="s">
        <v>47</v>
      </c>
      <c r="X5" s="7">
        <v>222138.0</v>
      </c>
      <c r="Y5" s="6">
        <v>1.428905733E8</v>
      </c>
      <c r="Z5" s="4">
        <v>4.296884356</v>
      </c>
      <c r="AA5" s="4">
        <v>23.2726766</v>
      </c>
      <c r="AB5" s="8">
        <v>0.0043</v>
      </c>
      <c r="AC5" s="4" t="s">
        <v>63</v>
      </c>
      <c r="AD5" s="6">
        <v>46186.75</v>
      </c>
      <c r="AE5" s="6">
        <v>25443.35</v>
      </c>
      <c r="AF5" s="6">
        <v>100296.38</v>
      </c>
      <c r="AG5" s="6">
        <v>28527.03</v>
      </c>
      <c r="AH5" s="4">
        <v>0.676203022</v>
      </c>
      <c r="AI5" s="4" t="s">
        <v>64</v>
      </c>
      <c r="AJ5" s="4">
        <v>2025.0</v>
      </c>
      <c r="AK5" s="6"/>
      <c r="AL5" s="4"/>
      <c r="AM5" s="4"/>
      <c r="AN5" s="8">
        <v>0.0</v>
      </c>
      <c r="AO5" s="4">
        <v>24.58</v>
      </c>
      <c r="AP5" s="4">
        <v>0.676203022</v>
      </c>
    </row>
    <row r="6">
      <c r="A6" s="4">
        <v>49.0</v>
      </c>
      <c r="B6" s="4" t="s">
        <v>65</v>
      </c>
      <c r="C6" s="4" t="s">
        <v>43</v>
      </c>
      <c r="D6" s="4" t="s">
        <v>60</v>
      </c>
      <c r="E6" s="4">
        <v>12.0</v>
      </c>
      <c r="F6" s="4" t="s">
        <v>61</v>
      </c>
      <c r="G6" s="4" t="s">
        <v>62</v>
      </c>
      <c r="H6" s="4">
        <v>-34.6771759</v>
      </c>
      <c r="I6" s="4">
        <v>-58.3692651</v>
      </c>
      <c r="J6" s="4">
        <v>720.0</v>
      </c>
      <c r="K6" s="4">
        <v>300.0</v>
      </c>
      <c r="L6" s="4">
        <v>1500.0</v>
      </c>
      <c r="M6" s="4">
        <v>900.0</v>
      </c>
      <c r="N6" s="4">
        <v>1517.0</v>
      </c>
      <c r="O6" s="4">
        <v>53.0</v>
      </c>
      <c r="P6" s="4">
        <v>5237.0</v>
      </c>
      <c r="Q6" s="5">
        <v>1.08916389242E9</v>
      </c>
      <c r="R6" s="6">
        <v>3.3254461E7</v>
      </c>
      <c r="S6" s="6">
        <v>1.48821742442E9</v>
      </c>
      <c r="T6" s="6">
        <v>1.12076943E9</v>
      </c>
      <c r="U6" s="4">
        <f t="shared" si="1"/>
        <v>-0.3278533341</v>
      </c>
      <c r="V6" s="7">
        <v>2.1146593E7</v>
      </c>
      <c r="W6" s="4" t="s">
        <v>47</v>
      </c>
      <c r="X6" s="7">
        <v>214010.0</v>
      </c>
      <c r="Y6" s="6">
        <v>9.33974525E7</v>
      </c>
      <c r="Z6" s="4">
        <v>2.808569127</v>
      </c>
      <c r="AA6" s="4">
        <v>35.60531911</v>
      </c>
      <c r="AB6" s="8">
        <v>-0.0049</v>
      </c>
      <c r="AC6" s="4" t="s">
        <v>63</v>
      </c>
      <c r="AD6" s="6">
        <v>46186.75</v>
      </c>
      <c r="AE6" s="6">
        <v>21921.2</v>
      </c>
      <c r="AF6" s="6">
        <v>100296.38</v>
      </c>
      <c r="AG6" s="6">
        <v>28527.03</v>
      </c>
      <c r="AH6" s="4">
        <v>0.6144694349</v>
      </c>
      <c r="AI6" s="4" t="s">
        <v>64</v>
      </c>
      <c r="AJ6" s="4">
        <v>2025.0</v>
      </c>
      <c r="AK6" s="6"/>
      <c r="AL6" s="4"/>
      <c r="AM6" s="4"/>
      <c r="AN6" s="8">
        <v>0.0</v>
      </c>
      <c r="AO6" s="4">
        <v>0.0</v>
      </c>
      <c r="AP6" s="4">
        <v>0.6144694349</v>
      </c>
    </row>
    <row r="7">
      <c r="A7" s="4">
        <v>96.0</v>
      </c>
      <c r="B7" s="4" t="s">
        <v>66</v>
      </c>
      <c r="C7" s="4" t="s">
        <v>43</v>
      </c>
      <c r="D7" s="4" t="s">
        <v>67</v>
      </c>
      <c r="E7" s="4">
        <v>12.0</v>
      </c>
      <c r="F7" s="4" t="s">
        <v>61</v>
      </c>
      <c r="G7" s="4" t="s">
        <v>62</v>
      </c>
      <c r="H7" s="4">
        <v>-34.6754885</v>
      </c>
      <c r="I7" s="4">
        <v>-58.3671896</v>
      </c>
      <c r="J7" s="4">
        <v>321.0</v>
      </c>
      <c r="K7" s="4">
        <v>160.0</v>
      </c>
      <c r="L7" s="4">
        <v>600.0</v>
      </c>
      <c r="M7" s="4">
        <v>450.0</v>
      </c>
      <c r="N7" s="4">
        <v>1052.0</v>
      </c>
      <c r="O7" s="4">
        <v>121.0</v>
      </c>
      <c r="P7" s="4">
        <v>11494.0</v>
      </c>
      <c r="Q7" s="5">
        <v>1.7704151908E8</v>
      </c>
      <c r="R7" s="6">
        <v>3.3254461E7</v>
      </c>
      <c r="S7" s="6">
        <v>5.7609505108E8</v>
      </c>
      <c r="T7" s="6">
        <v>1.703645717E9</v>
      </c>
      <c r="U7" s="4">
        <f t="shared" si="1"/>
        <v>0.6618457433</v>
      </c>
      <c r="V7" s="7">
        <v>1.4079717E7</v>
      </c>
      <c r="W7" s="4" t="s">
        <v>57</v>
      </c>
      <c r="X7" s="7">
        <v>148220.0</v>
      </c>
      <c r="Y7" s="6">
        <v>1.419704764E8</v>
      </c>
      <c r="Z7" s="4">
        <v>4.269215983</v>
      </c>
      <c r="AA7" s="4">
        <v>23.42350455</v>
      </c>
      <c r="AB7" s="8">
        <v>0.015</v>
      </c>
      <c r="AC7" s="4" t="s">
        <v>63</v>
      </c>
      <c r="AD7" s="6">
        <v>103596.45</v>
      </c>
      <c r="AE7" s="6">
        <v>31610.7</v>
      </c>
      <c r="AF7" s="6">
        <v>100296.38</v>
      </c>
      <c r="AG7" s="6">
        <v>28527.03</v>
      </c>
      <c r="AH7" s="4">
        <v>1.070499946</v>
      </c>
      <c r="AI7" s="4" t="s">
        <v>52</v>
      </c>
      <c r="AJ7" s="4">
        <v>2025.0</v>
      </c>
      <c r="AK7" s="6"/>
      <c r="AL7" s="4"/>
      <c r="AM7" s="4"/>
      <c r="AN7" s="8">
        <v>0.0</v>
      </c>
      <c r="AO7" s="4">
        <v>32.32</v>
      </c>
      <c r="AP7" s="4">
        <v>1.070499946</v>
      </c>
    </row>
    <row r="8">
      <c r="A8" s="4">
        <v>97.0</v>
      </c>
      <c r="B8" s="4" t="s">
        <v>68</v>
      </c>
      <c r="C8" s="4" t="s">
        <v>43</v>
      </c>
      <c r="D8" s="4" t="s">
        <v>67</v>
      </c>
      <c r="E8" s="4">
        <v>11.0</v>
      </c>
      <c r="F8" s="4" t="s">
        <v>61</v>
      </c>
      <c r="G8" s="4" t="s">
        <v>62</v>
      </c>
      <c r="H8" s="4">
        <v>-34.6754885</v>
      </c>
      <c r="I8" s="4">
        <v>-58.3671896</v>
      </c>
      <c r="J8" s="4">
        <v>207.0</v>
      </c>
      <c r="K8" s="4">
        <v>120.0</v>
      </c>
      <c r="L8" s="4">
        <v>350.0</v>
      </c>
      <c r="M8" s="4">
        <v>300.0</v>
      </c>
      <c r="N8" s="4">
        <v>773.0</v>
      </c>
      <c r="O8" s="4">
        <v>84.0</v>
      </c>
      <c r="P8" s="4">
        <v>7663.0</v>
      </c>
      <c r="Q8" s="5">
        <v>1.2403654118E8</v>
      </c>
      <c r="R8" s="6">
        <v>3.3254461E7</v>
      </c>
      <c r="S8" s="6">
        <v>4.8983561218E8</v>
      </c>
      <c r="T8" s="6">
        <v>1.023178495E9</v>
      </c>
      <c r="U8" s="4">
        <f t="shared" si="1"/>
        <v>0.521260841</v>
      </c>
      <c r="V8" s="7">
        <v>1.2180696E7</v>
      </c>
      <c r="W8" s="4" t="s">
        <v>57</v>
      </c>
      <c r="X8" s="7">
        <v>133522.0</v>
      </c>
      <c r="Y8" s="6">
        <v>9.301622682E7</v>
      </c>
      <c r="Z8" s="4">
        <v>2.797105231</v>
      </c>
      <c r="AA8" s="4">
        <v>35.751247</v>
      </c>
      <c r="AB8" s="8">
        <v>0.0067</v>
      </c>
      <c r="AC8" s="4" t="s">
        <v>63</v>
      </c>
      <c r="AD8" s="6">
        <v>160649.57</v>
      </c>
      <c r="AE8" s="6">
        <v>43020.0</v>
      </c>
      <c r="AF8" s="6">
        <v>100296.38</v>
      </c>
      <c r="AG8" s="6">
        <v>28527.03</v>
      </c>
      <c r="AH8" s="4">
        <v>1.554896036</v>
      </c>
      <c r="AI8" s="4" t="s">
        <v>49</v>
      </c>
      <c r="AJ8" s="4">
        <v>2025.0</v>
      </c>
      <c r="AK8" s="6"/>
      <c r="AL8" s="4"/>
      <c r="AM8" s="4"/>
      <c r="AN8" s="8">
        <v>0.0</v>
      </c>
      <c r="AO8" s="4">
        <v>11.02</v>
      </c>
      <c r="AP8" s="4">
        <v>1.554896036</v>
      </c>
    </row>
    <row r="9">
      <c r="A9" s="4">
        <v>16.0</v>
      </c>
      <c r="B9" s="4" t="s">
        <v>69</v>
      </c>
      <c r="C9" s="4" t="s">
        <v>43</v>
      </c>
      <c r="D9" s="4" t="s">
        <v>70</v>
      </c>
      <c r="E9" s="4">
        <v>11.0</v>
      </c>
      <c r="F9" s="4" t="s">
        <v>71</v>
      </c>
      <c r="G9" s="4" t="s">
        <v>72</v>
      </c>
      <c r="H9" s="4">
        <v>-34.5568747</v>
      </c>
      <c r="I9" s="4">
        <v>-58.6960298</v>
      </c>
      <c r="J9" s="4">
        <v>300.0</v>
      </c>
      <c r="K9" s="4">
        <v>200.0</v>
      </c>
      <c r="L9" s="4">
        <v>500.0</v>
      </c>
      <c r="M9" s="4">
        <v>300.0</v>
      </c>
      <c r="N9" s="4">
        <v>1854.0</v>
      </c>
      <c r="O9" s="4">
        <v>150.0</v>
      </c>
      <c r="P9" s="4">
        <v>14142.0</v>
      </c>
      <c r="Q9" s="5">
        <v>8.3745973629E8</v>
      </c>
      <c r="R9" s="6">
        <v>2.5508567E7</v>
      </c>
      <c r="S9" s="6">
        <v>9.6105289829E8</v>
      </c>
      <c r="T9" s="6">
        <v>2.524771759E9</v>
      </c>
      <c r="U9" s="4">
        <f t="shared" si="1"/>
        <v>0.6193505829</v>
      </c>
      <c r="V9" s="7">
        <v>1.6831812E7</v>
      </c>
      <c r="W9" s="4" t="s">
        <v>57</v>
      </c>
      <c r="X9" s="7">
        <v>178530.0</v>
      </c>
      <c r="Y9" s="6"/>
      <c r="Z9" s="4"/>
      <c r="AA9" s="4"/>
      <c r="AB9" s="8">
        <v>0.0184</v>
      </c>
      <c r="AC9" s="4" t="s">
        <v>73</v>
      </c>
      <c r="AD9" s="6">
        <v>85028.56</v>
      </c>
      <c r="AE9" s="6">
        <v>44751.87</v>
      </c>
      <c r="AF9" s="6">
        <v>85028.56</v>
      </c>
      <c r="AG9" s="6">
        <v>34134.85</v>
      </c>
      <c r="AH9" s="4">
        <v>1.15551589</v>
      </c>
      <c r="AI9" s="4" t="s">
        <v>52</v>
      </c>
      <c r="AJ9" s="4">
        <v>2025.0</v>
      </c>
      <c r="AK9" s="6">
        <v>2.5508567E7</v>
      </c>
      <c r="AL9" s="6">
        <v>44751.87</v>
      </c>
      <c r="AM9" s="6">
        <v>18972.12</v>
      </c>
      <c r="AN9" s="8">
        <v>0.1359</v>
      </c>
      <c r="AO9" s="4">
        <v>0.0</v>
      </c>
      <c r="AP9" s="4">
        <v>1.15551589</v>
      </c>
    </row>
    <row r="10">
      <c r="A10" s="4">
        <v>38.0</v>
      </c>
      <c r="B10" s="4" t="s">
        <v>74</v>
      </c>
      <c r="C10" s="4" t="s">
        <v>43</v>
      </c>
      <c r="D10" s="4" t="s">
        <v>75</v>
      </c>
      <c r="E10" s="4">
        <v>12.0</v>
      </c>
      <c r="F10" s="4" t="s">
        <v>71</v>
      </c>
      <c r="G10" s="4" t="s">
        <v>76</v>
      </c>
      <c r="H10" s="4">
        <v>-34.5658276</v>
      </c>
      <c r="I10" s="4">
        <v>-58.7011588</v>
      </c>
      <c r="J10" s="4">
        <v>368.0</v>
      </c>
      <c r="K10" s="4">
        <v>180.0</v>
      </c>
      <c r="L10" s="4">
        <v>600.0</v>
      </c>
      <c r="M10" s="4">
        <v>800.0</v>
      </c>
      <c r="N10" s="4">
        <v>570.0</v>
      </c>
      <c r="O10" s="4">
        <v>129.0</v>
      </c>
      <c r="P10" s="4">
        <v>13088.0</v>
      </c>
      <c r="Q10" s="5">
        <v>1.06911657635E9</v>
      </c>
      <c r="R10" s="6">
        <v>2.9208567E7</v>
      </c>
      <c r="S10" s="6">
        <v>1.06911657635E9</v>
      </c>
      <c r="T10" s="6">
        <v>2.550062356E9</v>
      </c>
      <c r="U10" s="4">
        <f t="shared" si="1"/>
        <v>0.5807488496</v>
      </c>
      <c r="V10" s="7">
        <v>1.9767925E7</v>
      </c>
      <c r="W10" s="4" t="s">
        <v>47</v>
      </c>
      <c r="X10" s="7">
        <v>194840.0</v>
      </c>
      <c r="Y10" s="6">
        <v>2.125051963E8</v>
      </c>
      <c r="Z10" s="4">
        <v>7.275440672</v>
      </c>
      <c r="AA10" s="4">
        <v>13.74487189</v>
      </c>
      <c r="AB10" s="8">
        <v>0.0151</v>
      </c>
      <c r="AC10" s="4" t="s">
        <v>73</v>
      </c>
      <c r="AD10" s="6">
        <v>79371.11</v>
      </c>
      <c r="AE10" s="6">
        <v>28776.91</v>
      </c>
      <c r="AF10" s="6">
        <v>85028.56</v>
      </c>
      <c r="AG10" s="6">
        <v>34134.85</v>
      </c>
      <c r="AH10" s="4">
        <v>0.8882501528</v>
      </c>
      <c r="AI10" s="4" t="s">
        <v>52</v>
      </c>
      <c r="AJ10" s="4">
        <v>2025.0</v>
      </c>
      <c r="AK10" s="6">
        <v>2.9208567E7</v>
      </c>
      <c r="AL10" s="6">
        <v>28776.91</v>
      </c>
      <c r="AM10" s="6">
        <v>18972.12</v>
      </c>
      <c r="AN10" s="8">
        <v>0.0517</v>
      </c>
      <c r="AO10" s="4">
        <v>48.76</v>
      </c>
      <c r="AP10" s="4">
        <v>0.8882501528</v>
      </c>
    </row>
    <row r="11">
      <c r="A11" s="4">
        <v>44.0</v>
      </c>
      <c r="B11" s="4" t="s">
        <v>77</v>
      </c>
      <c r="C11" s="4" t="s">
        <v>43</v>
      </c>
      <c r="D11" s="4" t="s">
        <v>78</v>
      </c>
      <c r="E11" s="4">
        <v>12.0</v>
      </c>
      <c r="F11" s="4" t="s">
        <v>79</v>
      </c>
      <c r="G11" s="4" t="s">
        <v>80</v>
      </c>
      <c r="H11" s="4">
        <v>-34.4130045</v>
      </c>
      <c r="I11" s="4">
        <v>-58.7050018</v>
      </c>
      <c r="J11" s="4">
        <v>362.0</v>
      </c>
      <c r="K11" s="4">
        <v>220.0</v>
      </c>
      <c r="L11" s="4">
        <v>600.0</v>
      </c>
      <c r="M11" s="4">
        <v>500.0</v>
      </c>
      <c r="N11" s="4">
        <v>1015.0</v>
      </c>
      <c r="O11" s="4">
        <v>112.0</v>
      </c>
      <c r="P11" s="4">
        <v>10686.0</v>
      </c>
      <c r="Q11" s="5">
        <v>8.7305329608E8</v>
      </c>
      <c r="R11" s="6">
        <v>2.3779952E7</v>
      </c>
      <c r="S11" s="6">
        <v>1.22355610008E9</v>
      </c>
      <c r="T11" s="6">
        <v>2.165326138E9</v>
      </c>
      <c r="U11" s="4">
        <f t="shared" si="1"/>
        <v>0.4349321894</v>
      </c>
      <c r="V11" s="7">
        <v>1.9333269E7</v>
      </c>
      <c r="W11" s="4" t="s">
        <v>47</v>
      </c>
      <c r="X11" s="7">
        <v>202632.0</v>
      </c>
      <c r="Y11" s="6">
        <v>1.804438448E8</v>
      </c>
      <c r="Z11" s="4">
        <v>7.588065982</v>
      </c>
      <c r="AA11" s="4">
        <v>13.17858862</v>
      </c>
      <c r="AB11" s="8">
        <v>0.0134</v>
      </c>
      <c r="AC11" s="4" t="s">
        <v>81</v>
      </c>
      <c r="AD11" s="6">
        <v>65690.48</v>
      </c>
      <c r="AE11" s="6">
        <v>21520.32</v>
      </c>
      <c r="AF11" s="6">
        <v>68588.96</v>
      </c>
      <c r="AG11" s="6">
        <v>16616.31</v>
      </c>
      <c r="AH11" s="4">
        <v>1.126436566</v>
      </c>
      <c r="AI11" s="4" t="s">
        <v>52</v>
      </c>
      <c r="AJ11" s="4">
        <v>2025.0</v>
      </c>
      <c r="AK11" s="6">
        <v>2.3779952E7</v>
      </c>
      <c r="AL11" s="6">
        <v>21520.32</v>
      </c>
      <c r="AM11" s="6">
        <v>25531.22</v>
      </c>
      <c r="AN11" s="8">
        <v>-0.0157</v>
      </c>
      <c r="AO11" s="4">
        <v>47.1</v>
      </c>
      <c r="AP11" s="4">
        <v>1.126436566</v>
      </c>
    </row>
    <row r="12">
      <c r="A12" s="4">
        <v>45.0</v>
      </c>
      <c r="B12" s="4" t="s">
        <v>82</v>
      </c>
      <c r="C12" s="4" t="s">
        <v>43</v>
      </c>
      <c r="D12" s="4" t="s">
        <v>83</v>
      </c>
      <c r="E12" s="4">
        <v>12.0</v>
      </c>
      <c r="F12" s="4" t="s">
        <v>84</v>
      </c>
      <c r="G12" s="4" t="s">
        <v>80</v>
      </c>
      <c r="H12" s="4">
        <v>-34.4130343</v>
      </c>
      <c r="I12" s="4">
        <v>-58.7162762</v>
      </c>
      <c r="J12" s="4">
        <v>350.0</v>
      </c>
      <c r="K12" s="4">
        <v>200.0</v>
      </c>
      <c r="L12" s="4">
        <v>600.0</v>
      </c>
      <c r="M12" s="4">
        <v>500.0</v>
      </c>
      <c r="N12" s="4">
        <v>1105.0</v>
      </c>
      <c r="O12" s="4">
        <v>107.0</v>
      </c>
      <c r="P12" s="4">
        <v>10342.0</v>
      </c>
      <c r="Q12" s="5">
        <v>9.0477174435E8</v>
      </c>
      <c r="R12" s="6">
        <v>2.6774694E7</v>
      </c>
      <c r="S12" s="6">
        <v>1.19013116835E9</v>
      </c>
      <c r="T12" s="6">
        <v>2.266475695E9</v>
      </c>
      <c r="U12" s="4">
        <f t="shared" si="1"/>
        <v>0.4748978906</v>
      </c>
      <c r="V12" s="7">
        <v>2.1182016E7</v>
      </c>
      <c r="W12" s="4" t="s">
        <v>47</v>
      </c>
      <c r="X12" s="7">
        <v>219153.0</v>
      </c>
      <c r="Y12" s="6">
        <v>1.888729746E8</v>
      </c>
      <c r="Z12" s="4">
        <v>7.054159968</v>
      </c>
      <c r="AA12" s="4">
        <v>14.17603236</v>
      </c>
      <c r="AB12" s="8">
        <v>0.0139</v>
      </c>
      <c r="AC12" s="4" t="s">
        <v>81</v>
      </c>
      <c r="AD12" s="6">
        <v>76499.13</v>
      </c>
      <c r="AE12" s="6">
        <v>17591.78</v>
      </c>
      <c r="AF12" s="6">
        <v>68588.96</v>
      </c>
      <c r="AG12" s="6">
        <v>16616.31</v>
      </c>
      <c r="AH12" s="4">
        <v>1.087016297</v>
      </c>
      <c r="AI12" s="4" t="s">
        <v>52</v>
      </c>
      <c r="AJ12" s="4">
        <v>2025.0</v>
      </c>
      <c r="AK12" s="6">
        <v>2.6774694E7</v>
      </c>
      <c r="AL12" s="6">
        <v>17591.78</v>
      </c>
      <c r="AM12" s="6">
        <v>25531.22</v>
      </c>
      <c r="AN12" s="8">
        <v>-0.0311</v>
      </c>
      <c r="AO12" s="4">
        <v>48.2</v>
      </c>
      <c r="AP12" s="4">
        <v>1.087016297</v>
      </c>
    </row>
    <row r="13">
      <c r="A13" s="4">
        <v>108.0</v>
      </c>
      <c r="B13" s="4" t="s">
        <v>85</v>
      </c>
      <c r="C13" s="4" t="s">
        <v>43</v>
      </c>
      <c r="D13" s="4" t="s">
        <v>86</v>
      </c>
      <c r="E13" s="4">
        <v>0.0</v>
      </c>
      <c r="F13" s="4" t="s">
        <v>87</v>
      </c>
      <c r="G13" s="4" t="s">
        <v>85</v>
      </c>
      <c r="H13" s="4">
        <v>-34.7809799</v>
      </c>
      <c r="I13" s="4">
        <v>-58.2458758</v>
      </c>
      <c r="J13" s="4">
        <v>0.0</v>
      </c>
      <c r="K13" s="4">
        <v>0.0</v>
      </c>
      <c r="L13" s="4">
        <v>0.0</v>
      </c>
      <c r="M13" s="4">
        <v>0.0</v>
      </c>
      <c r="N13" s="4">
        <v>1522.0</v>
      </c>
      <c r="O13" s="4">
        <v>0.0</v>
      </c>
      <c r="P13" s="4">
        <v>0.0</v>
      </c>
      <c r="Q13" s="5">
        <v>0.0</v>
      </c>
      <c r="R13" s="6">
        <v>1.2083957E7</v>
      </c>
      <c r="S13" s="6">
        <v>1.45007484E8</v>
      </c>
      <c r="T13" s="6">
        <v>0.0</v>
      </c>
      <c r="U13" s="4">
        <v>0.0</v>
      </c>
      <c r="V13" s="4"/>
      <c r="W13" s="4" t="s">
        <v>47</v>
      </c>
      <c r="X13" s="4"/>
      <c r="Y13" s="6"/>
      <c r="Z13" s="4"/>
      <c r="AA13" s="4"/>
      <c r="AB13" s="8">
        <v>-0.0019</v>
      </c>
      <c r="AI13" s="4" t="s">
        <v>88</v>
      </c>
      <c r="AJ13" s="4">
        <v>2025.0</v>
      </c>
      <c r="AN13" s="9">
        <v>0.0</v>
      </c>
      <c r="AO13" s="4">
        <v>0.0</v>
      </c>
      <c r="AP13" s="10"/>
    </row>
    <row r="14">
      <c r="A14" s="4">
        <v>109.0</v>
      </c>
      <c r="B14" s="4" t="s">
        <v>89</v>
      </c>
      <c r="C14" s="4" t="s">
        <v>43</v>
      </c>
      <c r="D14" s="4" t="s">
        <v>90</v>
      </c>
      <c r="E14" s="4">
        <v>12.0</v>
      </c>
      <c r="F14" s="4" t="s">
        <v>87</v>
      </c>
      <c r="G14" s="4" t="s">
        <v>85</v>
      </c>
      <c r="H14" s="4">
        <v>-34.7764685</v>
      </c>
      <c r="I14" s="4">
        <v>-58.2363769</v>
      </c>
      <c r="J14" s="4">
        <v>182.0</v>
      </c>
      <c r="K14" s="4">
        <v>120.0</v>
      </c>
      <c r="L14" s="4">
        <v>300.0</v>
      </c>
      <c r="M14" s="4">
        <v>200.0</v>
      </c>
      <c r="N14" s="4">
        <v>856.0</v>
      </c>
      <c r="O14" s="4">
        <v>107.0</v>
      </c>
      <c r="P14" s="4">
        <v>10194.0</v>
      </c>
      <c r="Q14" s="5">
        <v>1.8682987521E8</v>
      </c>
      <c r="R14" s="6">
        <v>2.2968973E7</v>
      </c>
      <c r="S14" s="6">
        <v>1.8682987521E8</v>
      </c>
      <c r="T14" s="6">
        <v>1.624463859E9</v>
      </c>
      <c r="U14" s="4">
        <f t="shared" ref="U14:U31" si="2">(T14-S14)/T14</f>
        <v>0.8849898235</v>
      </c>
      <c r="V14" s="7">
        <v>1.5181905E7</v>
      </c>
      <c r="W14" s="4" t="s">
        <v>57</v>
      </c>
      <c r="X14" s="7">
        <v>159355.0</v>
      </c>
      <c r="Y14" s="6">
        <v>1.353719883E8</v>
      </c>
      <c r="Z14" s="4">
        <v>5.893689206</v>
      </c>
      <c r="AA14" s="4">
        <v>16.96730121</v>
      </c>
      <c r="AB14" s="8">
        <v>0.0155</v>
      </c>
      <c r="AC14" s="4" t="s">
        <v>48</v>
      </c>
      <c r="AD14" s="6">
        <v>126203.15</v>
      </c>
      <c r="AE14" s="6">
        <v>28182.79</v>
      </c>
      <c r="AF14" s="6">
        <v>66382.4</v>
      </c>
      <c r="AG14" s="6">
        <v>14642.27</v>
      </c>
      <c r="AH14" s="4">
        <v>1.912954799</v>
      </c>
      <c r="AI14" s="4" t="s">
        <v>49</v>
      </c>
      <c r="AJ14" s="4">
        <v>2025.0</v>
      </c>
      <c r="AK14" s="6">
        <v>2.2968973E7</v>
      </c>
      <c r="AL14" s="6">
        <v>28182.79</v>
      </c>
      <c r="AM14" s="6">
        <v>5028.66</v>
      </c>
      <c r="AN14" s="8">
        <v>0.4604</v>
      </c>
      <c r="AO14" s="4">
        <v>41.7</v>
      </c>
      <c r="AP14" s="4">
        <v>1.912954799</v>
      </c>
    </row>
    <row r="15">
      <c r="A15" s="4">
        <v>89.0</v>
      </c>
      <c r="B15" s="4" t="s">
        <v>91</v>
      </c>
      <c r="C15" s="4" t="s">
        <v>43</v>
      </c>
      <c r="D15" s="4" t="s">
        <v>92</v>
      </c>
      <c r="E15" s="4">
        <v>12.0</v>
      </c>
      <c r="F15" s="4" t="s">
        <v>93</v>
      </c>
      <c r="G15" s="4" t="s">
        <v>91</v>
      </c>
      <c r="H15" s="4">
        <v>-34.8954753</v>
      </c>
      <c r="I15" s="4">
        <v>-57.9159366</v>
      </c>
      <c r="J15" s="4">
        <v>210.0</v>
      </c>
      <c r="K15" s="4">
        <v>120.0</v>
      </c>
      <c r="L15" s="4">
        <v>360.0</v>
      </c>
      <c r="M15" s="4">
        <v>300.0</v>
      </c>
      <c r="N15" s="4">
        <v>815.0</v>
      </c>
      <c r="O15" s="4">
        <v>196.0</v>
      </c>
      <c r="P15" s="4">
        <v>18500.0</v>
      </c>
      <c r="Q15" s="5">
        <v>4.3277605821E8</v>
      </c>
      <c r="R15" s="6">
        <v>1.4734735E7</v>
      </c>
      <c r="S15" s="6">
        <v>7.0840373421E8</v>
      </c>
      <c r="T15" s="6">
        <v>2.611422775E9</v>
      </c>
      <c r="U15" s="4">
        <f t="shared" si="2"/>
        <v>0.7287288213</v>
      </c>
      <c r="V15" s="7">
        <v>1.3323586E7</v>
      </c>
      <c r="W15" s="4" t="s">
        <v>47</v>
      </c>
      <c r="X15" s="7">
        <v>141158.0</v>
      </c>
      <c r="Y15" s="6">
        <v>2.176185646E8</v>
      </c>
      <c r="Z15" s="4">
        <v>14.76908574</v>
      </c>
      <c r="AA15" s="4">
        <v>6.770899821</v>
      </c>
      <c r="AB15" s="8">
        <v>0.0267</v>
      </c>
      <c r="AC15" s="4" t="s">
        <v>48</v>
      </c>
      <c r="AD15" s="6">
        <v>70165.4</v>
      </c>
      <c r="AE15" s="6">
        <v>11334.41</v>
      </c>
      <c r="AF15" s="6">
        <v>66382.4</v>
      </c>
      <c r="AG15" s="6">
        <v>14642.27</v>
      </c>
      <c r="AH15" s="4">
        <v>0.9155383146</v>
      </c>
      <c r="AI15" s="4" t="s">
        <v>52</v>
      </c>
      <c r="AJ15" s="4">
        <v>2025.0</v>
      </c>
      <c r="AK15" s="6">
        <v>1.4734735E7</v>
      </c>
      <c r="AL15" s="6">
        <v>11334.41</v>
      </c>
      <c r="AM15" s="6">
        <v>5028.66</v>
      </c>
      <c r="AN15" s="8">
        <v>0.1254</v>
      </c>
      <c r="AO15" s="4">
        <v>69.28</v>
      </c>
      <c r="AP15" s="4">
        <v>0.9155383146</v>
      </c>
    </row>
    <row r="16">
      <c r="A16" s="4">
        <v>120.0</v>
      </c>
      <c r="B16" s="4" t="s">
        <v>94</v>
      </c>
      <c r="C16" s="4" t="s">
        <v>43</v>
      </c>
      <c r="D16" s="4" t="s">
        <v>95</v>
      </c>
      <c r="E16" s="4">
        <v>12.0</v>
      </c>
      <c r="F16" s="4" t="s">
        <v>96</v>
      </c>
      <c r="G16" s="4" t="s">
        <v>97</v>
      </c>
      <c r="H16" s="4">
        <v>-34.4880813</v>
      </c>
      <c r="I16" s="4">
        <v>-58.5908835</v>
      </c>
      <c r="J16" s="4">
        <v>540.0</v>
      </c>
      <c r="K16" s="4">
        <v>300.0</v>
      </c>
      <c r="L16" s="4">
        <v>1000.0</v>
      </c>
      <c r="M16" s="4">
        <v>600.0</v>
      </c>
      <c r="N16" s="4">
        <v>1300.0</v>
      </c>
      <c r="O16" s="4">
        <v>66.0</v>
      </c>
      <c r="P16" s="4">
        <v>9118.0</v>
      </c>
      <c r="Q16" s="5">
        <v>7.599602541E7</v>
      </c>
      <c r="R16" s="6">
        <v>3.8399743E7</v>
      </c>
      <c r="S16" s="6">
        <v>2.5281284541E8</v>
      </c>
      <c r="T16" s="6">
        <v>1.724027537E9</v>
      </c>
      <c r="U16" s="4">
        <f t="shared" si="2"/>
        <v>0.8533591605</v>
      </c>
      <c r="V16" s="7">
        <v>2.6121629E7</v>
      </c>
      <c r="W16" s="4" t="s">
        <v>57</v>
      </c>
      <c r="X16" s="7">
        <v>189080.0</v>
      </c>
      <c r="Y16" s="6">
        <v>1.915586152E8</v>
      </c>
      <c r="Z16" s="4">
        <v>4.988538992</v>
      </c>
      <c r="AA16" s="4">
        <v>20.04594936</v>
      </c>
      <c r="AB16" s="8">
        <v>0.0158</v>
      </c>
      <c r="AC16" s="4" t="s">
        <v>48</v>
      </c>
      <c r="AD16" s="6">
        <v>71110.64</v>
      </c>
      <c r="AE16" s="6">
        <v>14360.41</v>
      </c>
      <c r="AF16" s="6">
        <v>66382.4</v>
      </c>
      <c r="AG16" s="6">
        <v>14642.27</v>
      </c>
      <c r="AH16" s="4">
        <v>1.025988932</v>
      </c>
      <c r="AI16" s="4" t="s">
        <v>52</v>
      </c>
      <c r="AJ16" s="4">
        <v>2025.0</v>
      </c>
      <c r="AK16" s="6">
        <v>3.8399743E7</v>
      </c>
      <c r="AL16" s="6">
        <v>14360.41</v>
      </c>
      <c r="AM16" s="6">
        <v>5028.66</v>
      </c>
      <c r="AN16" s="8">
        <v>0.1856</v>
      </c>
      <c r="AO16" s="4">
        <v>45.25</v>
      </c>
      <c r="AP16" s="4">
        <v>1.025988932</v>
      </c>
    </row>
    <row r="17">
      <c r="A17" s="4">
        <v>34.0</v>
      </c>
      <c r="B17" s="4" t="s">
        <v>98</v>
      </c>
      <c r="C17" s="4" t="s">
        <v>43</v>
      </c>
      <c r="D17" s="4" t="s">
        <v>99</v>
      </c>
      <c r="E17" s="4">
        <v>10.0</v>
      </c>
      <c r="F17" s="4" t="s">
        <v>100</v>
      </c>
      <c r="G17" s="4" t="s">
        <v>101</v>
      </c>
      <c r="H17" s="4">
        <v>-34.60711079</v>
      </c>
      <c r="I17" s="4">
        <v>-58.38445487</v>
      </c>
      <c r="J17" s="4">
        <v>198.0</v>
      </c>
      <c r="K17" s="4">
        <v>150.0</v>
      </c>
      <c r="L17" s="4">
        <v>300.0</v>
      </c>
      <c r="M17" s="4">
        <v>180.0</v>
      </c>
      <c r="N17" s="4">
        <v>586.0</v>
      </c>
      <c r="O17" s="4">
        <v>118.0</v>
      </c>
      <c r="P17" s="4">
        <v>10458.0</v>
      </c>
      <c r="Q17" s="5">
        <v>7.923140562E8</v>
      </c>
      <c r="R17" s="6">
        <v>1.2748956E7</v>
      </c>
      <c r="S17" s="6">
        <v>9.046714762E8</v>
      </c>
      <c r="T17" s="6">
        <v>1.641196508E9</v>
      </c>
      <c r="U17" s="4">
        <f t="shared" si="2"/>
        <v>0.4487732141</v>
      </c>
      <c r="V17" s="7">
        <v>1.3908445E7</v>
      </c>
      <c r="W17" s="4" t="s">
        <v>57</v>
      </c>
      <c r="X17" s="7">
        <v>156932.0</v>
      </c>
      <c r="Y17" s="6">
        <v>1.367663757E8</v>
      </c>
      <c r="Z17" s="4">
        <v>10.72765297</v>
      </c>
      <c r="AA17" s="4">
        <v>9.32170348</v>
      </c>
      <c r="AB17" s="8">
        <v>0.0094</v>
      </c>
      <c r="AC17" s="4" t="s">
        <v>73</v>
      </c>
      <c r="AD17" s="6">
        <v>61358.36</v>
      </c>
      <c r="AE17" s="6">
        <v>16551.71</v>
      </c>
      <c r="AF17" s="6">
        <v>85028.56</v>
      </c>
      <c r="AG17" s="6">
        <v>34134.85</v>
      </c>
      <c r="AH17" s="4">
        <v>0.6032562731</v>
      </c>
      <c r="AI17" s="4" t="s">
        <v>64</v>
      </c>
      <c r="AJ17" s="4">
        <v>2025.0</v>
      </c>
      <c r="AK17" s="6">
        <v>1.2148956E7</v>
      </c>
      <c r="AL17" s="6">
        <v>16551.71</v>
      </c>
      <c r="AM17" s="6">
        <v>18972.12</v>
      </c>
      <c r="AN17" s="8">
        <v>-0.0128</v>
      </c>
      <c r="AO17" s="4">
        <v>40.88</v>
      </c>
      <c r="AP17" s="4">
        <v>0.6032562731</v>
      </c>
    </row>
    <row r="18">
      <c r="A18" s="4">
        <v>84.0</v>
      </c>
      <c r="B18" s="4" t="s">
        <v>102</v>
      </c>
      <c r="C18" s="4" t="s">
        <v>43</v>
      </c>
      <c r="D18" s="4" t="s">
        <v>103</v>
      </c>
      <c r="E18" s="4">
        <v>9.0</v>
      </c>
      <c r="F18" s="4" t="s">
        <v>104</v>
      </c>
      <c r="G18" s="4" t="s">
        <v>105</v>
      </c>
      <c r="H18" s="4">
        <v>-34.609647</v>
      </c>
      <c r="I18" s="4">
        <v>-58.439938</v>
      </c>
      <c r="J18" s="4">
        <v>253.0</v>
      </c>
      <c r="K18" s="4">
        <v>180.0</v>
      </c>
      <c r="L18" s="4">
        <v>400.0</v>
      </c>
      <c r="M18" s="4">
        <v>250.0</v>
      </c>
      <c r="N18" s="4">
        <v>2674.0</v>
      </c>
      <c r="O18" s="4">
        <v>121.0</v>
      </c>
      <c r="P18" s="4">
        <v>13115.0</v>
      </c>
      <c r="Q18" s="5">
        <v>1.04414907195E9</v>
      </c>
      <c r="R18" s="6">
        <v>2.2808166E7</v>
      </c>
      <c r="S18" s="6">
        <v>1.38974675895E9</v>
      </c>
      <c r="T18" s="6">
        <v>2.559408899E9</v>
      </c>
      <c r="U18" s="4">
        <f t="shared" si="2"/>
        <v>0.4570047953</v>
      </c>
      <c r="V18" s="7">
        <v>2.115214E7</v>
      </c>
      <c r="W18" s="4" t="s">
        <v>106</v>
      </c>
      <c r="X18" s="7">
        <v>195151.0</v>
      </c>
      <c r="Y18" s="6">
        <v>2.132840749E8</v>
      </c>
      <c r="Z18" s="4">
        <v>9.351215478</v>
      </c>
      <c r="AA18" s="4">
        <v>10.693797</v>
      </c>
      <c r="AB18" s="8">
        <v>0.0165</v>
      </c>
      <c r="AC18" s="4" t="s">
        <v>73</v>
      </c>
      <c r="AD18" s="6">
        <v>90150.85</v>
      </c>
      <c r="AE18" s="6">
        <v>51254.31</v>
      </c>
      <c r="AF18" s="6">
        <v>85028.56</v>
      </c>
      <c r="AG18" s="6">
        <v>34134.85</v>
      </c>
      <c r="AH18" s="4">
        <v>1.280883194</v>
      </c>
      <c r="AI18" s="4" t="s">
        <v>49</v>
      </c>
      <c r="AJ18" s="4">
        <v>2025.0</v>
      </c>
      <c r="AK18" s="6">
        <v>2.2808166E7</v>
      </c>
      <c r="AL18" s="6">
        <v>51254.31</v>
      </c>
      <c r="AM18" s="6">
        <v>18972.12</v>
      </c>
      <c r="AN18" s="8">
        <v>0.1702</v>
      </c>
      <c r="AO18" s="4">
        <v>55.33</v>
      </c>
      <c r="AP18" s="4">
        <v>1.280883194</v>
      </c>
    </row>
    <row r="19">
      <c r="A19" s="4">
        <v>85.0</v>
      </c>
      <c r="B19" s="4" t="s">
        <v>107</v>
      </c>
      <c r="C19" s="4" t="s">
        <v>43</v>
      </c>
      <c r="D19" s="4" t="s">
        <v>103</v>
      </c>
      <c r="E19" s="4">
        <v>12.0</v>
      </c>
      <c r="F19" s="4" t="s">
        <v>104</v>
      </c>
      <c r="G19" s="4" t="s">
        <v>105</v>
      </c>
      <c r="H19" s="4">
        <v>-34.609647</v>
      </c>
      <c r="I19" s="4">
        <v>-58.439938</v>
      </c>
      <c r="J19" s="4">
        <v>238.0</v>
      </c>
      <c r="K19" s="4">
        <v>180.0</v>
      </c>
      <c r="L19" s="4">
        <v>350.0</v>
      </c>
      <c r="M19" s="4">
        <v>250.0</v>
      </c>
      <c r="N19" s="4">
        <v>734.0</v>
      </c>
      <c r="O19" s="4">
        <v>132.0</v>
      </c>
      <c r="P19" s="4">
        <v>11751.0</v>
      </c>
      <c r="Q19" s="5">
        <v>8.7985851102E8</v>
      </c>
      <c r="R19" s="6">
        <v>2.2808166E7</v>
      </c>
      <c r="S19" s="6">
        <v>1.02564598302E9</v>
      </c>
      <c r="T19" s="6">
        <v>2.177695628E9</v>
      </c>
      <c r="U19" s="4">
        <f t="shared" si="2"/>
        <v>0.5290223437</v>
      </c>
      <c r="V19" s="7">
        <v>1.6497694E7</v>
      </c>
      <c r="W19" s="4" t="s">
        <v>57</v>
      </c>
      <c r="X19" s="7">
        <v>185320.0</v>
      </c>
      <c r="Y19" s="6">
        <v>1.814746357E8</v>
      </c>
      <c r="Z19" s="4">
        <v>7.956564139</v>
      </c>
      <c r="AA19" s="4">
        <v>12.56823904</v>
      </c>
      <c r="AB19" s="8">
        <v>0.0136</v>
      </c>
      <c r="AC19" s="4" t="s">
        <v>73</v>
      </c>
      <c r="AD19" s="6">
        <v>95832.63</v>
      </c>
      <c r="AE19" s="6">
        <v>35416.41</v>
      </c>
      <c r="AF19" s="6">
        <v>85028.56</v>
      </c>
      <c r="AG19" s="6">
        <v>34134.85</v>
      </c>
      <c r="AH19" s="4">
        <v>1.082304015</v>
      </c>
      <c r="AI19" s="4" t="s">
        <v>52</v>
      </c>
      <c r="AJ19" s="4">
        <v>2025.0</v>
      </c>
      <c r="AK19" s="6">
        <v>2.2808166E7</v>
      </c>
      <c r="AL19" s="6">
        <v>35416.41</v>
      </c>
      <c r="AM19" s="6">
        <v>18972.12</v>
      </c>
      <c r="AN19" s="8">
        <v>0.0867</v>
      </c>
      <c r="AO19" s="4">
        <v>46.01</v>
      </c>
      <c r="AP19" s="4">
        <v>1.082304015</v>
      </c>
    </row>
    <row r="20">
      <c r="A20" s="4">
        <v>125.0</v>
      </c>
      <c r="B20" s="4" t="s">
        <v>108</v>
      </c>
      <c r="C20" s="4" t="s">
        <v>43</v>
      </c>
      <c r="D20" s="4" t="s">
        <v>109</v>
      </c>
      <c r="E20" s="4">
        <v>12.0</v>
      </c>
      <c r="F20" s="4" t="s">
        <v>110</v>
      </c>
      <c r="G20" s="4" t="s">
        <v>108</v>
      </c>
      <c r="H20" s="4">
        <v>-34.1570387</v>
      </c>
      <c r="I20" s="4">
        <v>-59.0160207</v>
      </c>
      <c r="J20" s="4">
        <v>442.0</v>
      </c>
      <c r="K20" s="4">
        <v>220.0</v>
      </c>
      <c r="L20" s="4">
        <v>800.0</v>
      </c>
      <c r="M20" s="4">
        <v>700.0</v>
      </c>
      <c r="N20" s="4">
        <v>445.0</v>
      </c>
      <c r="O20" s="4">
        <v>89.0</v>
      </c>
      <c r="P20" s="4">
        <v>9643.0</v>
      </c>
      <c r="Q20" s="5">
        <v>4.18578742E7</v>
      </c>
      <c r="R20" s="6">
        <v>1.557E7</v>
      </c>
      <c r="S20" s="6">
        <v>3.155558662E8</v>
      </c>
      <c r="T20" s="6">
        <v>1.53123794E9</v>
      </c>
      <c r="U20" s="4">
        <f t="shared" si="2"/>
        <v>0.7939210766</v>
      </c>
      <c r="V20" s="7">
        <v>1.7204921E7</v>
      </c>
      <c r="W20" s="4" t="s">
        <v>47</v>
      </c>
      <c r="X20" s="7">
        <v>158793.0</v>
      </c>
      <c r="Y20" s="6">
        <v>2.187482771E8</v>
      </c>
      <c r="Z20" s="4">
        <v>14.04934343</v>
      </c>
      <c r="AA20" s="4">
        <v>7.117770345</v>
      </c>
      <c r="AB20" s="8">
        <v>0.0174</v>
      </c>
      <c r="AC20" s="4" t="s">
        <v>48</v>
      </c>
      <c r="AD20" s="6">
        <v>35226.24</v>
      </c>
      <c r="AE20" s="6">
        <v>45794.12</v>
      </c>
      <c r="AF20" s="6">
        <v>66382.4</v>
      </c>
      <c r="AG20" s="6">
        <v>14642.27</v>
      </c>
      <c r="AH20" s="4">
        <v>1.829092869</v>
      </c>
      <c r="AI20" s="4" t="s">
        <v>49</v>
      </c>
      <c r="AJ20" s="4">
        <v>2025.0</v>
      </c>
      <c r="AK20" s="6">
        <v>1.557E7</v>
      </c>
      <c r="AL20" s="6">
        <v>45794.12</v>
      </c>
      <c r="AM20" s="6">
        <v>5028.66</v>
      </c>
      <c r="AN20" s="8">
        <v>0.8107</v>
      </c>
      <c r="AO20" s="4">
        <v>57.3</v>
      </c>
      <c r="AP20" s="4">
        <v>1.829092869</v>
      </c>
    </row>
    <row r="21">
      <c r="A21" s="4">
        <v>128.0</v>
      </c>
      <c r="B21" s="4" t="s">
        <v>111</v>
      </c>
      <c r="C21" s="4" t="s">
        <v>43</v>
      </c>
      <c r="D21" s="4" t="s">
        <v>112</v>
      </c>
      <c r="E21" s="4">
        <v>12.0</v>
      </c>
      <c r="F21" s="4" t="s">
        <v>113</v>
      </c>
      <c r="G21" s="4" t="s">
        <v>111</v>
      </c>
      <c r="H21" s="4">
        <v>-34.8562533</v>
      </c>
      <c r="I21" s="4">
        <v>-58.5175497</v>
      </c>
      <c r="J21" s="4">
        <v>238.0</v>
      </c>
      <c r="K21" s="4">
        <v>180.0</v>
      </c>
      <c r="L21" s="4">
        <v>350.0</v>
      </c>
      <c r="M21" s="4">
        <v>250.0</v>
      </c>
      <c r="N21" s="4">
        <v>644.0</v>
      </c>
      <c r="O21" s="4">
        <v>78.0</v>
      </c>
      <c r="P21" s="4">
        <v>7485.0</v>
      </c>
      <c r="Q21" s="5">
        <v>2.697018902E7</v>
      </c>
      <c r="R21" s="6">
        <v>1.05984743E8</v>
      </c>
      <c r="S21" s="6">
        <v>3.0066818102E8</v>
      </c>
      <c r="T21" s="6">
        <v>1.415629883E9</v>
      </c>
      <c r="U21" s="4">
        <f t="shared" si="2"/>
        <v>0.7876081986</v>
      </c>
      <c r="V21" s="7">
        <v>1.8149101E7</v>
      </c>
      <c r="W21" s="4" t="s">
        <v>47</v>
      </c>
      <c r="X21" s="7">
        <v>189129.0</v>
      </c>
      <c r="Y21" s="6">
        <v>1.572922092E8</v>
      </c>
      <c r="Z21" s="4">
        <v>1.484102379</v>
      </c>
      <c r="AA21" s="4">
        <v>67.38079624</v>
      </c>
      <c r="AB21" s="8">
        <v>0.0016</v>
      </c>
      <c r="AC21" s="4" t="s">
        <v>73</v>
      </c>
      <c r="AD21" s="6">
        <v>445314.05</v>
      </c>
      <c r="AE21" s="6">
        <v>62973.7</v>
      </c>
      <c r="AF21" s="6">
        <v>85028.56</v>
      </c>
      <c r="AG21" s="6">
        <v>34134.85</v>
      </c>
      <c r="AH21" s="4">
        <v>3.541040036</v>
      </c>
      <c r="AI21" s="4" t="s">
        <v>49</v>
      </c>
      <c r="AJ21" s="4">
        <v>2025.0</v>
      </c>
      <c r="AK21" s="6">
        <v>1.05984743E8</v>
      </c>
      <c r="AL21" s="6">
        <v>62973.7</v>
      </c>
      <c r="AM21" s="6">
        <v>18972.12</v>
      </c>
      <c r="AN21" s="8">
        <v>0.2319</v>
      </c>
      <c r="AO21" s="4">
        <v>8.07</v>
      </c>
      <c r="AP21" s="4">
        <v>3.541040036</v>
      </c>
    </row>
    <row r="22">
      <c r="A22" s="4">
        <v>9.0</v>
      </c>
      <c r="B22" s="4" t="s">
        <v>114</v>
      </c>
      <c r="C22" s="4" t="s">
        <v>43</v>
      </c>
      <c r="D22" s="4" t="s">
        <v>115</v>
      </c>
      <c r="E22" s="4">
        <v>7.0</v>
      </c>
      <c r="F22" s="4" t="s">
        <v>116</v>
      </c>
      <c r="G22" s="4" t="s">
        <v>117</v>
      </c>
      <c r="H22" s="4">
        <v>-34.4498162</v>
      </c>
      <c r="I22" s="4">
        <v>-58.9165601</v>
      </c>
      <c r="J22" s="4">
        <v>195.0</v>
      </c>
      <c r="K22" s="4">
        <v>150.0</v>
      </c>
      <c r="L22" s="4">
        <v>300.0</v>
      </c>
      <c r="M22" s="4">
        <v>150.0</v>
      </c>
      <c r="N22" s="4">
        <v>340.0</v>
      </c>
      <c r="O22" s="4">
        <v>93.0</v>
      </c>
      <c r="P22" s="4">
        <v>8627.0</v>
      </c>
      <c r="Q22" s="5">
        <v>4.5950828623E8</v>
      </c>
      <c r="R22" s="6">
        <v>1.1620016E7</v>
      </c>
      <c r="S22" s="6">
        <v>5.6849828623E8</v>
      </c>
      <c r="T22" s="6">
        <v>1.082288554E9</v>
      </c>
      <c r="U22" s="4">
        <f t="shared" si="2"/>
        <v>0.4747257706</v>
      </c>
      <c r="V22" s="7">
        <v>1.1637511E7</v>
      </c>
      <c r="W22" s="4" t="s">
        <v>47</v>
      </c>
      <c r="X22" s="7">
        <v>125454.0</v>
      </c>
      <c r="Y22" s="6">
        <v>9.019071283E7</v>
      </c>
      <c r="Z22" s="4">
        <v>7.761668558</v>
      </c>
      <c r="AA22" s="4">
        <v>12.88382765</v>
      </c>
      <c r="AB22" s="8">
        <v>0.0064</v>
      </c>
      <c r="AC22" s="4" t="s">
        <v>81</v>
      </c>
      <c r="AD22" s="6">
        <v>59589.83</v>
      </c>
      <c r="AE22" s="6">
        <v>7975.3</v>
      </c>
      <c r="AF22" s="6">
        <v>68588.96</v>
      </c>
      <c r="AG22" s="6">
        <v>16616.31</v>
      </c>
      <c r="AH22" s="4">
        <v>0.674382192</v>
      </c>
      <c r="AI22" s="4" t="s">
        <v>64</v>
      </c>
      <c r="AJ22" s="4">
        <v>2025.0</v>
      </c>
      <c r="AK22" s="6">
        <v>1.1620016E7</v>
      </c>
      <c r="AL22" s="6">
        <v>7975.3</v>
      </c>
      <c r="AM22" s="6">
        <v>25531.22</v>
      </c>
      <c r="AN22" s="8">
        <v>-0.0688</v>
      </c>
      <c r="AO22" s="4">
        <v>30.95</v>
      </c>
      <c r="AP22" s="4">
        <v>0.674382192</v>
      </c>
    </row>
    <row r="23">
      <c r="A23" s="4">
        <v>87.0</v>
      </c>
      <c r="B23" s="4" t="s">
        <v>118</v>
      </c>
      <c r="C23" s="4" t="s">
        <v>43</v>
      </c>
      <c r="D23" s="4" t="s">
        <v>119</v>
      </c>
      <c r="E23" s="4">
        <v>9.0</v>
      </c>
      <c r="F23" s="4" t="s">
        <v>120</v>
      </c>
      <c r="G23" s="4" t="s">
        <v>121</v>
      </c>
      <c r="H23" s="4">
        <v>-34.5726702</v>
      </c>
      <c r="I23" s="4">
        <v>-58.3937841</v>
      </c>
      <c r="J23" s="4">
        <v>530.0</v>
      </c>
      <c r="K23" s="4">
        <v>300.0</v>
      </c>
      <c r="L23" s="4">
        <v>900.0</v>
      </c>
      <c r="M23" s="4">
        <v>800.0</v>
      </c>
      <c r="N23" s="4">
        <v>1683.0</v>
      </c>
      <c r="O23" s="4">
        <v>118.0</v>
      </c>
      <c r="P23" s="4">
        <v>17851.0</v>
      </c>
      <c r="Q23" s="5">
        <v>1.12640952429E9</v>
      </c>
      <c r="R23" s="6">
        <v>3.095014E7</v>
      </c>
      <c r="S23" s="6">
        <v>2.08027221129E9</v>
      </c>
      <c r="T23" s="6">
        <v>3.607169306E9</v>
      </c>
      <c r="U23" s="4">
        <f t="shared" si="2"/>
        <v>0.4232951007</v>
      </c>
      <c r="V23" s="7">
        <v>3.0569231E7</v>
      </c>
      <c r="W23" s="4" t="s">
        <v>47</v>
      </c>
      <c r="X23" s="7">
        <v>202071.0</v>
      </c>
      <c r="Y23" s="6">
        <v>3.005974422E8</v>
      </c>
      <c r="Z23" s="4">
        <v>9.712312841</v>
      </c>
      <c r="AA23" s="4">
        <v>10.2962087</v>
      </c>
      <c r="AB23" s="8">
        <v>0.0281</v>
      </c>
      <c r="AC23" s="4" t="s">
        <v>63</v>
      </c>
      <c r="AD23" s="6">
        <v>58396.49</v>
      </c>
      <c r="AE23" s="6">
        <v>16119.86</v>
      </c>
      <c r="AF23" s="6">
        <v>100296.38</v>
      </c>
      <c r="AG23" s="6">
        <v>28527.03</v>
      </c>
      <c r="AH23" s="4">
        <v>0.5736563408</v>
      </c>
      <c r="AI23" s="4" t="s">
        <v>64</v>
      </c>
      <c r="AJ23" s="4">
        <v>2025.0</v>
      </c>
      <c r="AK23" s="6"/>
      <c r="AL23" s="6"/>
      <c r="AM23" s="6"/>
      <c r="AN23" s="8">
        <v>0.0</v>
      </c>
      <c r="AO23" s="4">
        <v>76.16</v>
      </c>
      <c r="AP23" s="4">
        <v>0.5736563408</v>
      </c>
    </row>
    <row r="24">
      <c r="A24" s="4">
        <v>88.0</v>
      </c>
      <c r="B24" s="4" t="s">
        <v>122</v>
      </c>
      <c r="C24" s="4" t="s">
        <v>43</v>
      </c>
      <c r="D24" s="4" t="s">
        <v>123</v>
      </c>
      <c r="E24" s="4">
        <v>12.0</v>
      </c>
      <c r="F24" s="4" t="s">
        <v>120</v>
      </c>
      <c r="G24" s="4" t="s">
        <v>124</v>
      </c>
      <c r="H24" s="4">
        <v>-34.56674</v>
      </c>
      <c r="I24" s="4">
        <v>-58.4019208</v>
      </c>
      <c r="J24" s="4">
        <v>530.0</v>
      </c>
      <c r="K24" s="4">
        <v>300.0</v>
      </c>
      <c r="L24" s="4">
        <v>900.0</v>
      </c>
      <c r="M24" s="4">
        <v>800.0</v>
      </c>
      <c r="N24" s="4">
        <v>1457.0</v>
      </c>
      <c r="O24" s="4">
        <v>144.0</v>
      </c>
      <c r="P24" s="4">
        <v>1883.0</v>
      </c>
      <c r="Q24" s="5">
        <v>8.1914751094E8</v>
      </c>
      <c r="R24" s="6">
        <v>3.8698265E7</v>
      </c>
      <c r="S24" s="6">
        <v>9.5858770294E8</v>
      </c>
      <c r="T24" s="6">
        <v>3.662199427E9</v>
      </c>
      <c r="U24" s="4">
        <f t="shared" si="2"/>
        <v>0.7382480878</v>
      </c>
      <c r="V24" s="7">
        <v>2.543194E7</v>
      </c>
      <c r="W24" s="4" t="s">
        <v>57</v>
      </c>
      <c r="X24" s="7">
        <v>194487.0</v>
      </c>
      <c r="Y24" s="6">
        <v>3.051832856E8</v>
      </c>
      <c r="Z24" s="4">
        <v>7.886226568</v>
      </c>
      <c r="AA24" s="4">
        <v>12.68033566</v>
      </c>
      <c r="AB24" s="8">
        <v>0.0317</v>
      </c>
      <c r="AC24" s="4" t="s">
        <v>63</v>
      </c>
      <c r="AD24" s="6">
        <v>73015.59</v>
      </c>
      <c r="AE24" s="6">
        <v>21169.73</v>
      </c>
      <c r="AF24" s="6">
        <v>100296.38</v>
      </c>
      <c r="AG24" s="6">
        <v>28527.03</v>
      </c>
      <c r="AH24" s="4">
        <v>0.7350460394</v>
      </c>
      <c r="AI24" s="4" t="s">
        <v>64</v>
      </c>
      <c r="AJ24" s="4">
        <v>2025.0</v>
      </c>
      <c r="AK24" s="6"/>
      <c r="AL24" s="6"/>
      <c r="AM24" s="6"/>
      <c r="AN24" s="8">
        <v>0.0</v>
      </c>
      <c r="AO24" s="4">
        <v>70.41</v>
      </c>
      <c r="AP24" s="4">
        <v>0.7350460394</v>
      </c>
    </row>
    <row r="25">
      <c r="A25" s="4">
        <v>93.0</v>
      </c>
      <c r="B25" s="4" t="s">
        <v>125</v>
      </c>
      <c r="C25" s="4" t="s">
        <v>43</v>
      </c>
      <c r="D25" s="4" t="s">
        <v>126</v>
      </c>
      <c r="E25" s="4">
        <v>12.0</v>
      </c>
      <c r="F25" s="4" t="s">
        <v>127</v>
      </c>
      <c r="G25" s="4" t="s">
        <v>128</v>
      </c>
      <c r="H25" s="4">
        <v>-34.4909745</v>
      </c>
      <c r="I25" s="4">
        <v>-58.5264752</v>
      </c>
      <c r="J25" s="4">
        <v>293.0</v>
      </c>
      <c r="K25" s="4">
        <v>180.0</v>
      </c>
      <c r="L25" s="4">
        <v>500.0</v>
      </c>
      <c r="M25" s="4">
        <v>350.0</v>
      </c>
      <c r="N25" s="4">
        <v>1920.0</v>
      </c>
      <c r="O25" s="4">
        <v>130.0</v>
      </c>
      <c r="P25" s="4">
        <v>12716.0</v>
      </c>
      <c r="Q25" s="5">
        <v>5.5622613927E8</v>
      </c>
      <c r="R25" s="6">
        <v>1.1532343E7</v>
      </c>
      <c r="S25" s="6">
        <v>9.2762781927E8</v>
      </c>
      <c r="T25" s="6">
        <v>2.439155693E9</v>
      </c>
      <c r="U25" s="4">
        <f t="shared" si="2"/>
        <v>0.6196930676</v>
      </c>
      <c r="V25" s="7">
        <v>1.8762736E7</v>
      </c>
      <c r="W25" s="4" t="s">
        <v>106</v>
      </c>
      <c r="X25" s="7">
        <v>191818.0</v>
      </c>
      <c r="Y25" s="6">
        <v>2.032629744E8</v>
      </c>
      <c r="Z25" s="4">
        <v>17.62547077</v>
      </c>
      <c r="AA25" s="4">
        <v>5.673607322</v>
      </c>
      <c r="AB25" s="8">
        <v>0.0232</v>
      </c>
      <c r="AC25" s="4" t="s">
        <v>81</v>
      </c>
      <c r="AD25" s="6">
        <v>39359.53</v>
      </c>
      <c r="AE25" s="6">
        <v>10920.78</v>
      </c>
      <c r="AF25" s="6">
        <v>68588.96</v>
      </c>
      <c r="AG25" s="6">
        <v>16616.31</v>
      </c>
      <c r="AH25" s="4">
        <v>0.6155394127</v>
      </c>
      <c r="AI25" s="4" t="s">
        <v>64</v>
      </c>
      <c r="AJ25" s="4">
        <v>2025.0</v>
      </c>
      <c r="AK25" s="6">
        <v>1.1532343E7</v>
      </c>
      <c r="AL25" s="6">
        <v>10920.78</v>
      </c>
      <c r="AM25" s="6">
        <v>25531.22</v>
      </c>
      <c r="AN25" s="8">
        <v>-0.0572</v>
      </c>
      <c r="AO25" s="4">
        <v>70.0</v>
      </c>
      <c r="AP25" s="4">
        <v>0.6155394127</v>
      </c>
    </row>
    <row r="26">
      <c r="A26" s="4">
        <v>58.0</v>
      </c>
      <c r="B26" s="4" t="s">
        <v>129</v>
      </c>
      <c r="C26" s="4" t="s">
        <v>43</v>
      </c>
      <c r="D26" s="4" t="s">
        <v>130</v>
      </c>
      <c r="E26" s="4">
        <v>12.0</v>
      </c>
      <c r="F26" s="4" t="s">
        <v>131</v>
      </c>
      <c r="G26" s="4" t="s">
        <v>124</v>
      </c>
      <c r="H26" s="4">
        <v>-34.5886454</v>
      </c>
      <c r="I26" s="4">
        <v>-58.4367561</v>
      </c>
      <c r="J26" s="4">
        <v>445.0</v>
      </c>
      <c r="K26" s="4">
        <v>300.0</v>
      </c>
      <c r="L26" s="4">
        <v>700.0</v>
      </c>
      <c r="M26" s="4">
        <v>550.0</v>
      </c>
      <c r="N26" s="4">
        <v>1828.0</v>
      </c>
      <c r="O26" s="4">
        <v>128.0</v>
      </c>
      <c r="P26" s="4">
        <v>18953.0</v>
      </c>
      <c r="Q26" s="5">
        <v>1.45407945255E9</v>
      </c>
      <c r="R26" s="6">
        <v>1.9103303E7</v>
      </c>
      <c r="S26" s="6">
        <v>1.91845863255E9</v>
      </c>
      <c r="T26" s="6">
        <v>3.736776692E9</v>
      </c>
      <c r="U26" s="4">
        <f t="shared" si="2"/>
        <v>0.4866006747</v>
      </c>
      <c r="V26" s="7">
        <v>2.9193568E7</v>
      </c>
      <c r="W26" s="4" t="s">
        <v>106</v>
      </c>
      <c r="X26" s="7">
        <v>197160.0</v>
      </c>
      <c r="Y26" s="6">
        <v>3.113980577E8</v>
      </c>
      <c r="Z26" s="4">
        <v>16.30074431</v>
      </c>
      <c r="AA26" s="4">
        <v>6.134689196</v>
      </c>
      <c r="AB26" s="8">
        <v>0.0274</v>
      </c>
      <c r="AC26" s="4" t="s">
        <v>81</v>
      </c>
      <c r="AD26" s="6">
        <v>42928.77</v>
      </c>
      <c r="AE26" s="6">
        <v>44529.84</v>
      </c>
      <c r="AF26" s="6">
        <v>68588.96</v>
      </c>
      <c r="AG26" s="6">
        <v>16616.31</v>
      </c>
      <c r="AH26" s="4">
        <v>1.65288576</v>
      </c>
      <c r="AI26" s="4" t="s">
        <v>49</v>
      </c>
      <c r="AJ26" s="4">
        <v>2025.0</v>
      </c>
      <c r="AK26" s="6">
        <v>1.9103303E7</v>
      </c>
      <c r="AL26" s="6">
        <v>44529.84</v>
      </c>
      <c r="AM26" s="6">
        <v>25531.22</v>
      </c>
      <c r="AN26" s="8">
        <v>0.0744</v>
      </c>
      <c r="AO26" s="4">
        <v>80.26</v>
      </c>
      <c r="AP26" s="4">
        <v>1.65288576</v>
      </c>
    </row>
    <row r="27">
      <c r="A27" s="4">
        <v>59.0</v>
      </c>
      <c r="B27" s="4" t="s">
        <v>132</v>
      </c>
      <c r="C27" s="4" t="s">
        <v>43</v>
      </c>
      <c r="D27" s="4" t="s">
        <v>130</v>
      </c>
      <c r="E27" s="4">
        <v>12.0</v>
      </c>
      <c r="F27" s="4" t="s">
        <v>131</v>
      </c>
      <c r="G27" s="4" t="s">
        <v>124</v>
      </c>
      <c r="H27" s="4">
        <v>-34.5886454</v>
      </c>
      <c r="I27" s="4">
        <v>-58.4367561</v>
      </c>
      <c r="J27" s="4">
        <v>168.0</v>
      </c>
      <c r="K27" s="4">
        <v>150.0</v>
      </c>
      <c r="L27" s="4">
        <v>200.0</v>
      </c>
      <c r="M27" s="4">
        <v>180.0</v>
      </c>
      <c r="N27" s="4">
        <v>1056.0</v>
      </c>
      <c r="O27" s="4">
        <v>131.0</v>
      </c>
      <c r="P27" s="4">
        <v>11871.0</v>
      </c>
      <c r="Q27" s="5">
        <v>8.5138839428E8</v>
      </c>
      <c r="R27" s="6">
        <v>1.9103303E7</v>
      </c>
      <c r="S27" s="6">
        <v>9.8977651028E8</v>
      </c>
      <c r="T27" s="6">
        <v>2.041014987E9</v>
      </c>
      <c r="U27" s="4">
        <f t="shared" si="2"/>
        <v>0.5150567161</v>
      </c>
      <c r="V27" s="7">
        <v>1.5580267E7</v>
      </c>
      <c r="W27" s="4" t="s">
        <v>47</v>
      </c>
      <c r="X27" s="7">
        <v>171933.0</v>
      </c>
      <c r="Y27" s="6">
        <v>1.700845823E8</v>
      </c>
      <c r="Z27" s="4">
        <v>8.903412266</v>
      </c>
      <c r="AA27" s="4">
        <v>11.23164883</v>
      </c>
      <c r="AB27" s="8">
        <v>0.0128</v>
      </c>
      <c r="AC27" s="4" t="s">
        <v>81</v>
      </c>
      <c r="AD27" s="6">
        <v>113710.14</v>
      </c>
      <c r="AE27" s="6">
        <v>15405.89</v>
      </c>
      <c r="AF27" s="6">
        <v>68588.96</v>
      </c>
      <c r="AG27" s="6">
        <v>16616.31</v>
      </c>
      <c r="AH27" s="4">
        <v>1.292501707</v>
      </c>
      <c r="AI27" s="4" t="s">
        <v>49</v>
      </c>
      <c r="AJ27" s="4">
        <v>2025.0</v>
      </c>
      <c r="AK27" s="6">
        <v>1.9103303E7</v>
      </c>
      <c r="AL27" s="6">
        <v>15405.89</v>
      </c>
      <c r="AM27" s="6">
        <v>25531.22</v>
      </c>
      <c r="AN27" s="8">
        <v>-0.0397</v>
      </c>
      <c r="AO27" s="4">
        <v>45.32</v>
      </c>
      <c r="AP27" s="4">
        <v>1.292501707</v>
      </c>
    </row>
    <row r="28">
      <c r="A28" s="4">
        <v>13.0</v>
      </c>
      <c r="B28" s="4" t="s">
        <v>133</v>
      </c>
      <c r="C28" s="4" t="s">
        <v>43</v>
      </c>
      <c r="D28" s="4" t="s">
        <v>134</v>
      </c>
      <c r="E28" s="4">
        <v>12.0</v>
      </c>
      <c r="F28" s="4" t="s">
        <v>135</v>
      </c>
      <c r="G28" s="4" t="s">
        <v>133</v>
      </c>
      <c r="H28" s="4">
        <v>-34.4480483</v>
      </c>
      <c r="I28" s="4">
        <v>-58.7946333</v>
      </c>
      <c r="J28" s="4">
        <v>243.0</v>
      </c>
      <c r="K28" s="4">
        <v>180.0</v>
      </c>
      <c r="L28" s="4">
        <v>350.0</v>
      </c>
      <c r="M28" s="4">
        <v>300.0</v>
      </c>
      <c r="N28" s="4">
        <v>429.0</v>
      </c>
      <c r="O28" s="4">
        <v>80.0</v>
      </c>
      <c r="P28" s="4">
        <v>7359.0</v>
      </c>
      <c r="Q28" s="5">
        <v>5.2826494873E8</v>
      </c>
      <c r="R28" s="6">
        <v>1.0610887E7</v>
      </c>
      <c r="S28" s="6">
        <v>7.5750458473E8</v>
      </c>
      <c r="T28" s="6">
        <v>1.120047993E9</v>
      </c>
      <c r="U28" s="4">
        <f t="shared" si="2"/>
        <v>0.3236856015</v>
      </c>
      <c r="V28" s="7">
        <v>1.40006E7</v>
      </c>
      <c r="W28" s="4" t="s">
        <v>106</v>
      </c>
      <c r="X28" s="7">
        <v>152201.0</v>
      </c>
      <c r="Y28" s="6">
        <v>9.333733275E7</v>
      </c>
      <c r="Z28" s="4">
        <v>8.79637421</v>
      </c>
      <c r="AA28" s="4">
        <v>11.36832036</v>
      </c>
      <c r="AB28" s="8">
        <v>0.0062</v>
      </c>
      <c r="AC28" s="4" t="s">
        <v>73</v>
      </c>
      <c r="AD28" s="6">
        <v>43666.2</v>
      </c>
      <c r="AE28" s="6">
        <v>17480.87</v>
      </c>
      <c r="AF28" s="6">
        <v>85028.56</v>
      </c>
      <c r="AG28" s="6">
        <v>34134.85</v>
      </c>
      <c r="AH28" s="4">
        <v>0.5128297786</v>
      </c>
      <c r="AI28" s="4" t="s">
        <v>64</v>
      </c>
      <c r="AJ28" s="4">
        <v>2025.0</v>
      </c>
      <c r="AK28" s="6">
        <v>1.0610887E7</v>
      </c>
      <c r="AL28" s="6">
        <v>17480.87</v>
      </c>
      <c r="AM28" s="6">
        <v>18972.12</v>
      </c>
      <c r="AN28" s="8">
        <v>-0.0079</v>
      </c>
      <c r="AO28" s="4">
        <v>33.67</v>
      </c>
      <c r="AP28" s="4">
        <v>0.5128297786</v>
      </c>
    </row>
    <row r="29">
      <c r="A29" s="4">
        <v>53.0</v>
      </c>
      <c r="B29" s="4" t="s">
        <v>136</v>
      </c>
      <c r="C29" s="4" t="s">
        <v>43</v>
      </c>
      <c r="D29" s="4" t="s">
        <v>137</v>
      </c>
      <c r="E29" s="4">
        <v>12.0</v>
      </c>
      <c r="F29" s="4" t="s">
        <v>138</v>
      </c>
      <c r="G29" s="4" t="s">
        <v>139</v>
      </c>
      <c r="H29" s="4">
        <v>-34.5464856</v>
      </c>
      <c r="I29" s="4">
        <v>-58.4878535</v>
      </c>
      <c r="J29" s="4">
        <v>440.0</v>
      </c>
      <c r="K29" s="4">
        <v>250.0</v>
      </c>
      <c r="L29" s="4">
        <v>800.0</v>
      </c>
      <c r="M29" s="4">
        <v>500.0</v>
      </c>
      <c r="N29" s="4">
        <v>1240.0</v>
      </c>
      <c r="O29" s="4">
        <v>73.0</v>
      </c>
      <c r="P29" s="4">
        <v>8441.0</v>
      </c>
      <c r="Q29" s="5">
        <v>2.3464147287E8</v>
      </c>
      <c r="R29" s="6">
        <v>4.2678372E7</v>
      </c>
      <c r="S29" s="6">
        <v>4.6388110887E8</v>
      </c>
      <c r="T29" s="6">
        <v>1.323835232E9</v>
      </c>
      <c r="U29" s="4">
        <f t="shared" si="2"/>
        <v>0.6495930176</v>
      </c>
      <c r="V29" s="7">
        <v>1.8134729E7</v>
      </c>
      <c r="W29" s="4" t="s">
        <v>47</v>
      </c>
      <c r="X29" s="7">
        <v>156834.0</v>
      </c>
      <c r="Y29" s="6">
        <v>1.203486575E8</v>
      </c>
      <c r="Z29" s="4">
        <v>2.819898038</v>
      </c>
      <c r="AA29" s="4">
        <v>35.46227511</v>
      </c>
      <c r="AB29" s="8">
        <v>0.0077</v>
      </c>
      <c r="AC29" s="4" t="s">
        <v>63</v>
      </c>
      <c r="AD29" s="6">
        <v>96996.3</v>
      </c>
      <c r="AE29" s="6">
        <v>8409.53</v>
      </c>
      <c r="AF29" s="6">
        <v>100296.38</v>
      </c>
      <c r="AG29" s="6">
        <v>28527.03</v>
      </c>
      <c r="AH29" s="4">
        <v>0.6309442346</v>
      </c>
      <c r="AI29" s="4" t="s">
        <v>64</v>
      </c>
      <c r="AJ29" s="4">
        <v>2025.0</v>
      </c>
      <c r="AK29" s="6"/>
      <c r="AL29" s="6"/>
      <c r="AM29" s="6"/>
      <c r="AN29" s="8">
        <v>0.0</v>
      </c>
      <c r="AO29" s="4">
        <v>15.82</v>
      </c>
      <c r="AP29" s="4">
        <v>0.6309442346</v>
      </c>
    </row>
    <row r="30">
      <c r="A30" s="4">
        <v>14.0</v>
      </c>
      <c r="B30" s="4" t="s">
        <v>140</v>
      </c>
      <c r="C30" s="4" t="s">
        <v>43</v>
      </c>
      <c r="D30" s="4" t="s">
        <v>141</v>
      </c>
      <c r="E30" s="4">
        <v>12.0</v>
      </c>
      <c r="F30" s="4" t="s">
        <v>142</v>
      </c>
      <c r="G30" s="4" t="s">
        <v>143</v>
      </c>
      <c r="H30" s="4">
        <v>-34.3526361</v>
      </c>
      <c r="I30" s="4">
        <v>-58.7964808</v>
      </c>
      <c r="J30" s="4">
        <v>195.0</v>
      </c>
      <c r="K30" s="4">
        <v>150.0</v>
      </c>
      <c r="L30" s="4">
        <v>300.0</v>
      </c>
      <c r="M30" s="4">
        <v>150.0</v>
      </c>
      <c r="N30" s="4">
        <v>607.0</v>
      </c>
      <c r="O30" s="4">
        <v>72.0</v>
      </c>
      <c r="P30" s="4">
        <v>6734.0</v>
      </c>
      <c r="Q30" s="5">
        <v>5.4580591595E8</v>
      </c>
      <c r="R30" s="6">
        <v>8188467.0</v>
      </c>
      <c r="S30" s="6">
        <v>6.7313655995E8</v>
      </c>
      <c r="T30" s="6">
        <v>1.07366082E9</v>
      </c>
      <c r="U30" s="4">
        <f t="shared" si="2"/>
        <v>0.3730454279</v>
      </c>
      <c r="V30" s="7">
        <v>1.4911956E7</v>
      </c>
      <c r="W30" s="4" t="s">
        <v>57</v>
      </c>
      <c r="X30" s="7">
        <v>159439.0</v>
      </c>
      <c r="Y30" s="6">
        <v>8.9471735E7</v>
      </c>
      <c r="Z30" s="4">
        <v>10.92655499</v>
      </c>
      <c r="AA30" s="4">
        <v>9.152015438</v>
      </c>
      <c r="AB30" s="8">
        <v>0.0057</v>
      </c>
      <c r="AC30" s="4" t="s">
        <v>73</v>
      </c>
      <c r="AD30" s="6">
        <v>41992.14</v>
      </c>
      <c r="AE30" s="6">
        <v>3808.59</v>
      </c>
      <c r="AF30" s="6">
        <v>85028.56</v>
      </c>
      <c r="AG30" s="6">
        <v>34134.85</v>
      </c>
      <c r="AH30" s="4">
        <v>0.3027170256</v>
      </c>
      <c r="AI30" s="4" t="s">
        <v>64</v>
      </c>
      <c r="AJ30" s="4">
        <v>2025.0</v>
      </c>
      <c r="AK30" s="6">
        <v>8188467.0</v>
      </c>
      <c r="AL30" s="6">
        <v>3808.59</v>
      </c>
      <c r="AM30" s="6">
        <v>18972.12</v>
      </c>
      <c r="AN30" s="8">
        <v>-0.0799</v>
      </c>
      <c r="AO30" s="4">
        <v>36.41</v>
      </c>
      <c r="AP30" s="4">
        <v>0.3027170256</v>
      </c>
    </row>
    <row r="31">
      <c r="A31" s="4">
        <v>104.0</v>
      </c>
      <c r="B31" s="4" t="s">
        <v>144</v>
      </c>
      <c r="C31" s="4" t="s">
        <v>43</v>
      </c>
      <c r="D31" s="4" t="s">
        <v>145</v>
      </c>
      <c r="E31" s="4">
        <v>11.0</v>
      </c>
      <c r="F31" s="4" t="s">
        <v>146</v>
      </c>
      <c r="G31" s="4" t="s">
        <v>147</v>
      </c>
      <c r="H31" s="4">
        <v>-34.6356508</v>
      </c>
      <c r="I31" s="4">
        <v>-58.5889595</v>
      </c>
      <c r="J31" s="4">
        <v>197.0</v>
      </c>
      <c r="K31" s="4">
        <v>180.0</v>
      </c>
      <c r="L31" s="4">
        <v>180.0</v>
      </c>
      <c r="M31" s="4">
        <v>350.0</v>
      </c>
      <c r="N31" s="4">
        <v>3185.0</v>
      </c>
      <c r="O31" s="4">
        <v>137.0</v>
      </c>
      <c r="P31" s="4">
        <v>12979.0</v>
      </c>
      <c r="Q31" s="5">
        <v>2.5538608937E8</v>
      </c>
      <c r="R31" s="6">
        <v>1.4384697E7</v>
      </c>
      <c r="S31" s="6">
        <v>7.2484818137E8</v>
      </c>
      <c r="T31" s="6">
        <v>2.035897106E9</v>
      </c>
      <c r="U31" s="4">
        <f t="shared" si="2"/>
        <v>0.6439662008</v>
      </c>
      <c r="V31" s="7">
        <v>1.4860563E7</v>
      </c>
      <c r="W31" s="4" t="s">
        <v>47</v>
      </c>
      <c r="X31" s="7">
        <v>156861.0</v>
      </c>
      <c r="Y31" s="6">
        <v>1.696580922E8</v>
      </c>
      <c r="Z31" s="4">
        <v>11.79434591</v>
      </c>
      <c r="AA31" s="4">
        <v>8.4786389</v>
      </c>
      <c r="AB31" s="8">
        <v>0.0214</v>
      </c>
      <c r="AC31" s="4" t="s">
        <v>58</v>
      </c>
      <c r="AD31" s="6">
        <v>73018.77</v>
      </c>
      <c r="AE31" s="6">
        <v>14130.35</v>
      </c>
      <c r="AF31" s="6">
        <v>72808.9</v>
      </c>
      <c r="AG31" s="6">
        <v>16888.33</v>
      </c>
      <c r="AH31" s="4">
        <v>0.9197878987</v>
      </c>
      <c r="AI31" s="4" t="s">
        <v>52</v>
      </c>
      <c r="AJ31" s="4">
        <v>2025.0</v>
      </c>
      <c r="AK31" s="6">
        <v>1.4384697E7</v>
      </c>
      <c r="AL31" s="6">
        <v>14130.35</v>
      </c>
      <c r="AM31" s="6">
        <v>8990.33</v>
      </c>
      <c r="AN31" s="8">
        <v>0.0572</v>
      </c>
      <c r="AO31" s="4">
        <v>60.47</v>
      </c>
      <c r="AP31" s="4">
        <v>0.9197878987</v>
      </c>
    </row>
    <row r="32">
      <c r="A32" s="4">
        <v>105.0</v>
      </c>
      <c r="B32" s="4" t="s">
        <v>148</v>
      </c>
      <c r="C32" s="4" t="s">
        <v>43</v>
      </c>
      <c r="D32" s="4" t="s">
        <v>145</v>
      </c>
      <c r="E32" s="4">
        <v>12.0</v>
      </c>
      <c r="F32" s="4" t="s">
        <v>149</v>
      </c>
      <c r="G32" s="4" t="s">
        <v>150</v>
      </c>
      <c r="H32" s="4">
        <v>-34.6068781</v>
      </c>
      <c r="I32" s="4">
        <v>-58.3913847</v>
      </c>
      <c r="J32" s="4">
        <v>0.0</v>
      </c>
      <c r="K32" s="4">
        <v>0.0</v>
      </c>
      <c r="L32" s="4">
        <v>0.0</v>
      </c>
      <c r="M32" s="4">
        <v>0.0</v>
      </c>
      <c r="N32" s="4">
        <v>0.0</v>
      </c>
      <c r="O32" s="4">
        <v>0.0</v>
      </c>
      <c r="P32" s="4">
        <v>0.0</v>
      </c>
      <c r="Q32" s="5">
        <v>0.0</v>
      </c>
      <c r="R32" s="6">
        <v>0.0</v>
      </c>
      <c r="S32" s="6">
        <v>0.0</v>
      </c>
      <c r="T32" s="6">
        <v>0.0</v>
      </c>
      <c r="U32" s="4">
        <v>0.0</v>
      </c>
      <c r="V32" s="4"/>
      <c r="W32" s="4" t="s">
        <v>57</v>
      </c>
      <c r="X32" s="4"/>
      <c r="Y32" s="6"/>
      <c r="Z32" s="4"/>
      <c r="AA32" s="4"/>
      <c r="AB32" s="8">
        <v>-0.0023</v>
      </c>
      <c r="AC32" s="4"/>
      <c r="AD32" s="6"/>
      <c r="AE32" s="6"/>
      <c r="AF32" s="6"/>
      <c r="AG32" s="6"/>
      <c r="AH32" s="4"/>
      <c r="AI32" s="4" t="s">
        <v>88</v>
      </c>
      <c r="AJ32" s="4">
        <v>2025.0</v>
      </c>
      <c r="AK32" s="6"/>
      <c r="AL32" s="6"/>
      <c r="AM32" s="6"/>
      <c r="AN32" s="8">
        <v>0.0</v>
      </c>
      <c r="AO32" s="4">
        <v>0.0</v>
      </c>
      <c r="AP32" s="4"/>
    </row>
    <row r="33">
      <c r="A33" s="4">
        <v>50.0</v>
      </c>
      <c r="B33" s="4" t="s">
        <v>151</v>
      </c>
      <c r="C33" s="4" t="s">
        <v>43</v>
      </c>
      <c r="D33" s="4" t="s">
        <v>152</v>
      </c>
      <c r="E33" s="4">
        <v>12.0</v>
      </c>
      <c r="F33" s="4" t="s">
        <v>153</v>
      </c>
      <c r="G33" s="4" t="s">
        <v>154</v>
      </c>
      <c r="H33" s="4">
        <v>-34.9041377</v>
      </c>
      <c r="I33" s="4">
        <v>-57.9480743</v>
      </c>
      <c r="J33" s="4">
        <v>540.0</v>
      </c>
      <c r="K33" s="4">
        <v>350.0</v>
      </c>
      <c r="L33" s="4">
        <v>900.0</v>
      </c>
      <c r="M33" s="4">
        <v>600.0</v>
      </c>
      <c r="N33" s="4">
        <v>1018.0</v>
      </c>
      <c r="O33" s="4">
        <v>149.0</v>
      </c>
      <c r="P33" s="4">
        <v>16624.0</v>
      </c>
      <c r="Q33" s="5">
        <v>9.6506899254E8</v>
      </c>
      <c r="R33" s="6">
        <v>1.8703121E7</v>
      </c>
      <c r="S33" s="6">
        <v>1.13768535654E9</v>
      </c>
      <c r="T33" s="6">
        <v>3.084758063E9</v>
      </c>
      <c r="U33" s="4">
        <f t="shared" ref="U33:U82" si="3">(T33-S33)/T33</f>
        <v>0.6311913825</v>
      </c>
      <c r="V33" s="7">
        <v>2.0703074E7</v>
      </c>
      <c r="W33" s="4" t="s">
        <v>57</v>
      </c>
      <c r="X33" s="7">
        <v>185561.0</v>
      </c>
      <c r="Y33" s="6">
        <v>2.570631719E8</v>
      </c>
      <c r="Z33" s="4">
        <v>13.74439977</v>
      </c>
      <c r="AA33" s="4">
        <v>7.275690586</v>
      </c>
      <c r="AB33" s="8">
        <v>0.0252</v>
      </c>
      <c r="AC33" s="4" t="s">
        <v>58</v>
      </c>
      <c r="AD33" s="6">
        <v>34635.41</v>
      </c>
      <c r="AE33" s="6">
        <v>18372.42</v>
      </c>
      <c r="AF33" s="6">
        <v>72808.9</v>
      </c>
      <c r="AG33" s="6">
        <v>16888.33</v>
      </c>
      <c r="AH33" s="4">
        <v>0.7817898787</v>
      </c>
      <c r="AI33" s="4" t="s">
        <v>64</v>
      </c>
      <c r="AJ33" s="4">
        <v>2025.0</v>
      </c>
      <c r="AK33" s="6">
        <v>1.8703121E7</v>
      </c>
      <c r="AL33" s="6">
        <v>18372.42</v>
      </c>
      <c r="AM33" s="6">
        <v>8990.33</v>
      </c>
      <c r="AN33" s="8">
        <v>0.1044</v>
      </c>
      <c r="AO33" s="4">
        <v>71.77</v>
      </c>
      <c r="AP33" s="4">
        <v>0.7817898787</v>
      </c>
    </row>
    <row r="34">
      <c r="A34" s="4">
        <v>5.0</v>
      </c>
      <c r="B34" s="4" t="s">
        <v>155</v>
      </c>
      <c r="C34" s="4" t="s">
        <v>43</v>
      </c>
      <c r="D34" s="4" t="s">
        <v>156</v>
      </c>
      <c r="E34" s="4">
        <v>0.0</v>
      </c>
      <c r="F34" s="4" t="s">
        <v>157</v>
      </c>
      <c r="G34" s="4" t="s">
        <v>158</v>
      </c>
      <c r="H34" s="4">
        <v>-34.5208003</v>
      </c>
      <c r="I34" s="4">
        <v>-58.7427572</v>
      </c>
      <c r="J34" s="4">
        <v>203.0</v>
      </c>
      <c r="K34" s="4">
        <v>180.0</v>
      </c>
      <c r="L34" s="4">
        <v>250.0</v>
      </c>
      <c r="M34" s="4">
        <v>200.0</v>
      </c>
      <c r="N34" s="4">
        <v>1800.0</v>
      </c>
      <c r="O34" s="4">
        <v>115.0</v>
      </c>
      <c r="P34" s="4">
        <v>10419.0</v>
      </c>
      <c r="Q34" s="5">
        <v>5.191402878E8</v>
      </c>
      <c r="R34" s="6">
        <v>6426743.0</v>
      </c>
      <c r="S34" s="6">
        <v>5.191402878E8</v>
      </c>
      <c r="T34" s="6">
        <v>1.309676794E9</v>
      </c>
      <c r="U34" s="4">
        <f t="shared" si="3"/>
        <v>0.6036119063</v>
      </c>
      <c r="V34" s="7">
        <v>1.1388494E7</v>
      </c>
      <c r="W34" s="4" t="s">
        <v>57</v>
      </c>
      <c r="X34" s="7">
        <v>125701.0</v>
      </c>
      <c r="Y34" s="6">
        <v>1.091397328E8</v>
      </c>
      <c r="Z34" s="4">
        <v>16.98212187</v>
      </c>
      <c r="AA34" s="4">
        <v>5.888545659</v>
      </c>
      <c r="AB34" s="8">
        <v>0.0095</v>
      </c>
      <c r="AC34" s="4" t="s">
        <v>48</v>
      </c>
      <c r="AD34" s="6">
        <v>31658.83</v>
      </c>
      <c r="AE34" s="6">
        <v>4989.71</v>
      </c>
      <c r="AF34" s="6">
        <v>66382.4</v>
      </c>
      <c r="AG34" s="6">
        <v>14642.27</v>
      </c>
      <c r="AH34" s="4">
        <v>0.4088451425</v>
      </c>
      <c r="AI34" s="4" t="s">
        <v>64</v>
      </c>
      <c r="AJ34" s="4">
        <v>2025.0</v>
      </c>
      <c r="AK34" s="6">
        <v>6426743.0</v>
      </c>
      <c r="AL34" s="6">
        <v>4989.71</v>
      </c>
      <c r="AM34" s="6">
        <v>5028.66</v>
      </c>
      <c r="AN34" s="8">
        <v>-8.0E-4</v>
      </c>
      <c r="AO34" s="4">
        <v>43.79</v>
      </c>
      <c r="AP34" s="4">
        <v>0.4088451425</v>
      </c>
    </row>
    <row r="35">
      <c r="A35" s="4">
        <v>26.0</v>
      </c>
      <c r="B35" s="4" t="s">
        <v>159</v>
      </c>
      <c r="C35" s="4" t="s">
        <v>43</v>
      </c>
      <c r="D35" s="4" t="s">
        <v>160</v>
      </c>
      <c r="E35" s="4">
        <v>12.0</v>
      </c>
      <c r="F35" s="4" t="s">
        <v>161</v>
      </c>
      <c r="G35" s="4" t="s">
        <v>159</v>
      </c>
      <c r="H35" s="4">
        <v>-34.7748102</v>
      </c>
      <c r="I35" s="4">
        <v>-58.1638347</v>
      </c>
      <c r="J35" s="4">
        <v>332.0</v>
      </c>
      <c r="K35" s="4">
        <v>170.0</v>
      </c>
      <c r="L35" s="4">
        <v>700.0</v>
      </c>
      <c r="M35" s="4">
        <v>200.0</v>
      </c>
      <c r="N35" s="4">
        <v>1331.0</v>
      </c>
      <c r="O35" s="4">
        <v>77.0</v>
      </c>
      <c r="P35" s="4">
        <v>7603.0</v>
      </c>
      <c r="Q35" s="5">
        <v>1.16379916444E9</v>
      </c>
      <c r="R35" s="6">
        <v>1.7674956E7</v>
      </c>
      <c r="S35" s="6">
        <v>1.38823661644E9</v>
      </c>
      <c r="T35" s="6">
        <v>2.022051059E9</v>
      </c>
      <c r="U35" s="4">
        <f t="shared" si="3"/>
        <v>0.3134512552</v>
      </c>
      <c r="V35" s="7">
        <v>2.6260403E7</v>
      </c>
      <c r="W35" s="4" t="s">
        <v>47</v>
      </c>
      <c r="X35" s="7">
        <v>265954.0</v>
      </c>
      <c r="Y35" s="6">
        <v>1.685042549E8</v>
      </c>
      <c r="Z35" s="4">
        <v>9.533503502</v>
      </c>
      <c r="AA35" s="4">
        <v>10.48932326</v>
      </c>
      <c r="AB35" s="8">
        <v>0.0086</v>
      </c>
      <c r="AC35" s="4" t="s">
        <v>73</v>
      </c>
      <c r="AD35" s="6">
        <v>53237.82</v>
      </c>
      <c r="AE35" s="6">
        <v>8448.83</v>
      </c>
      <c r="AF35" s="6">
        <v>85028.56</v>
      </c>
      <c r="AG35" s="6">
        <v>34134.85</v>
      </c>
      <c r="AH35" s="4">
        <v>0.4368151555</v>
      </c>
      <c r="AI35" s="4" t="s">
        <v>64</v>
      </c>
      <c r="AJ35" s="4">
        <v>2025.0</v>
      </c>
      <c r="AK35" s="6">
        <v>1.7674956E7</v>
      </c>
      <c r="AL35" s="6">
        <v>8448.83</v>
      </c>
      <c r="AM35" s="6">
        <v>18972.12</v>
      </c>
      <c r="AN35" s="8">
        <v>-0.0555</v>
      </c>
      <c r="AO35" s="4">
        <v>49.34</v>
      </c>
      <c r="AP35" s="4">
        <v>0.4368151555</v>
      </c>
    </row>
    <row r="36">
      <c r="A36" s="4">
        <v>111.0</v>
      </c>
      <c r="B36" s="4" t="s">
        <v>162</v>
      </c>
      <c r="C36" s="4" t="s">
        <v>43</v>
      </c>
      <c r="D36" s="4" t="s">
        <v>163</v>
      </c>
      <c r="E36" s="4">
        <v>12.0</v>
      </c>
      <c r="F36" s="4" t="s">
        <v>161</v>
      </c>
      <c r="G36" s="4" t="s">
        <v>159</v>
      </c>
      <c r="H36" s="4">
        <v>-34.7748102</v>
      </c>
      <c r="I36" s="4">
        <v>-58.1638347</v>
      </c>
      <c r="J36" s="4">
        <v>402.0</v>
      </c>
      <c r="K36" s="4">
        <v>170.0</v>
      </c>
      <c r="L36" s="4">
        <v>900.0</v>
      </c>
      <c r="M36" s="4">
        <v>300.0</v>
      </c>
      <c r="N36" s="4">
        <v>1288.0</v>
      </c>
      <c r="O36" s="4">
        <v>100.0</v>
      </c>
      <c r="P36" s="4">
        <v>9874.0</v>
      </c>
      <c r="Q36" s="5">
        <v>3.1433924785E8</v>
      </c>
      <c r="R36" s="6">
        <v>3.3247343E7</v>
      </c>
      <c r="S36" s="6">
        <v>3.9146016385E8</v>
      </c>
      <c r="T36" s="6">
        <v>2.038058675E9</v>
      </c>
      <c r="U36" s="4">
        <f t="shared" si="3"/>
        <v>0.8079249785</v>
      </c>
      <c r="V36" s="7">
        <v>2.0380587E7</v>
      </c>
      <c r="W36" s="4" t="s">
        <v>57</v>
      </c>
      <c r="X36" s="7">
        <v>206407.0</v>
      </c>
      <c r="Y36" s="6">
        <v>1.698382229E8</v>
      </c>
      <c r="Z36" s="4">
        <v>5.108324684</v>
      </c>
      <c r="AA36" s="4">
        <v>19.57588959</v>
      </c>
      <c r="AB36" s="8">
        <v>0.0176</v>
      </c>
      <c r="AC36" s="4" t="s">
        <v>73</v>
      </c>
      <c r="AD36" s="6">
        <v>82704.83</v>
      </c>
      <c r="AE36" s="6">
        <v>34134.85</v>
      </c>
      <c r="AF36" s="6">
        <v>85028.56</v>
      </c>
      <c r="AG36" s="6">
        <v>34134.85</v>
      </c>
      <c r="AH36" s="4">
        <v>0.9863356299</v>
      </c>
      <c r="AI36" s="4" t="s">
        <v>52</v>
      </c>
      <c r="AJ36" s="4">
        <v>2025.0</v>
      </c>
      <c r="AK36" s="6">
        <v>3.3247343E7</v>
      </c>
      <c r="AL36" s="6">
        <v>34134.85</v>
      </c>
      <c r="AM36" s="6">
        <v>18972.12</v>
      </c>
      <c r="AN36" s="8">
        <v>0.0799</v>
      </c>
      <c r="AO36" s="4">
        <v>46.42</v>
      </c>
      <c r="AP36" s="4">
        <v>0.9863356299</v>
      </c>
    </row>
    <row r="37">
      <c r="A37" s="4">
        <v>4.0</v>
      </c>
      <c r="B37" s="4" t="s">
        <v>164</v>
      </c>
      <c r="C37" s="4" t="s">
        <v>43</v>
      </c>
      <c r="D37" s="4" t="s">
        <v>165</v>
      </c>
      <c r="E37" s="4">
        <v>12.0</v>
      </c>
      <c r="F37" s="4" t="s">
        <v>166</v>
      </c>
      <c r="G37" s="4" t="s">
        <v>167</v>
      </c>
      <c r="H37" s="4">
        <v>-34.6015691</v>
      </c>
      <c r="I37" s="4">
        <v>-58.6521531</v>
      </c>
      <c r="J37" s="4">
        <v>312.0</v>
      </c>
      <c r="K37" s="4">
        <v>170.0</v>
      </c>
      <c r="L37" s="4">
        <v>600.0</v>
      </c>
      <c r="M37" s="4">
        <v>300.0</v>
      </c>
      <c r="N37" s="4">
        <v>2092.0</v>
      </c>
      <c r="O37" s="4">
        <v>133.0</v>
      </c>
      <c r="P37" s="4">
        <v>12463.0</v>
      </c>
      <c r="Q37" s="5">
        <v>8.6977502212E8</v>
      </c>
      <c r="R37" s="6">
        <v>2.2204765E7</v>
      </c>
      <c r="S37" s="6">
        <v>1.08187449412E9</v>
      </c>
      <c r="T37" s="6">
        <v>2.39748167E9</v>
      </c>
      <c r="U37" s="4">
        <f t="shared" si="3"/>
        <v>0.5487454575</v>
      </c>
      <c r="V37" s="7">
        <v>1.8026178E7</v>
      </c>
      <c r="W37" s="4" t="s">
        <v>106</v>
      </c>
      <c r="X37" s="7">
        <v>192368.0</v>
      </c>
      <c r="Y37" s="6">
        <v>1.997901392E8</v>
      </c>
      <c r="Z37" s="4">
        <v>8.997624571</v>
      </c>
      <c r="AA37" s="4">
        <v>11.11404451</v>
      </c>
      <c r="AB37" s="8">
        <v>0.0168</v>
      </c>
      <c r="AC37" s="4" t="s">
        <v>48</v>
      </c>
      <c r="AD37" s="6">
        <v>71169.12</v>
      </c>
      <c r="AE37" s="6">
        <v>24949.17</v>
      </c>
      <c r="AF37" s="6">
        <v>66382.4</v>
      </c>
      <c r="AG37" s="6">
        <v>14642.27</v>
      </c>
      <c r="AH37" s="4">
        <v>1.388011501</v>
      </c>
      <c r="AI37" s="4" t="s">
        <v>49</v>
      </c>
      <c r="AJ37" s="4">
        <v>2025.0</v>
      </c>
      <c r="AK37" s="6">
        <v>2.2204765E7</v>
      </c>
      <c r="AL37" s="6">
        <v>24949.17</v>
      </c>
      <c r="AM37" s="6">
        <v>5028.66</v>
      </c>
      <c r="AN37" s="8">
        <v>0.3961</v>
      </c>
      <c r="AO37" s="4">
        <v>53.53</v>
      </c>
      <c r="AP37" s="4">
        <v>1.388011501</v>
      </c>
    </row>
    <row r="38">
      <c r="A38" s="4">
        <v>11.0</v>
      </c>
      <c r="B38" s="4" t="s">
        <v>168</v>
      </c>
      <c r="C38" s="4" t="s">
        <v>43</v>
      </c>
      <c r="D38" s="4" t="s">
        <v>169</v>
      </c>
      <c r="E38" s="4">
        <v>12.0</v>
      </c>
      <c r="F38" s="4" t="s">
        <v>170</v>
      </c>
      <c r="G38" s="4" t="s">
        <v>171</v>
      </c>
      <c r="H38" s="4">
        <v>-34.6392089</v>
      </c>
      <c r="I38" s="4">
        <v>-58.6771547</v>
      </c>
      <c r="J38" s="4">
        <v>172.0</v>
      </c>
      <c r="K38" s="4">
        <v>150.0</v>
      </c>
      <c r="L38" s="4">
        <v>220.0</v>
      </c>
      <c r="M38" s="4">
        <v>160.0</v>
      </c>
      <c r="N38" s="4">
        <v>974.0</v>
      </c>
      <c r="O38" s="4">
        <v>123.0</v>
      </c>
      <c r="P38" s="4">
        <v>10985.0</v>
      </c>
      <c r="Q38" s="5">
        <v>7.7991722576E8</v>
      </c>
      <c r="R38" s="6">
        <v>1.4580852E7</v>
      </c>
      <c r="S38" s="6">
        <v>1.17888534176E9</v>
      </c>
      <c r="T38" s="6">
        <v>1.467008256E9</v>
      </c>
      <c r="U38" s="4">
        <f t="shared" si="3"/>
        <v>0.1964016992</v>
      </c>
      <c r="V38" s="7">
        <v>1.1926896E7</v>
      </c>
      <c r="W38" s="4" t="s">
        <v>47</v>
      </c>
      <c r="X38" s="7">
        <v>133546.0</v>
      </c>
      <c r="Y38" s="6">
        <v>1.22250688E8</v>
      </c>
      <c r="Z38" s="4">
        <v>8.384330902</v>
      </c>
      <c r="AA38" s="4">
        <v>11.92701018</v>
      </c>
      <c r="AB38" s="8">
        <v>0.0068</v>
      </c>
      <c r="AC38" s="4" t="s">
        <v>58</v>
      </c>
      <c r="AD38" s="6">
        <v>84772.4</v>
      </c>
      <c r="AE38" s="6">
        <v>28646.07</v>
      </c>
      <c r="AF38" s="6">
        <v>72808.9</v>
      </c>
      <c r="AG38" s="6">
        <v>16888.33</v>
      </c>
      <c r="AH38" s="4">
        <v>1.430259674</v>
      </c>
      <c r="AI38" s="4" t="s">
        <v>49</v>
      </c>
      <c r="AJ38" s="4">
        <v>2025.0</v>
      </c>
      <c r="AK38" s="6">
        <v>1.4580852E7</v>
      </c>
      <c r="AL38" s="6">
        <v>28646.07</v>
      </c>
      <c r="AM38" s="6">
        <v>8990.33</v>
      </c>
      <c r="AN38" s="8">
        <v>0.2186</v>
      </c>
      <c r="AO38" s="4">
        <v>32.82</v>
      </c>
      <c r="AP38" s="4">
        <v>1.430259674</v>
      </c>
    </row>
    <row r="39">
      <c r="A39" s="4">
        <v>25.0</v>
      </c>
      <c r="B39" s="4" t="s">
        <v>172</v>
      </c>
      <c r="C39" s="4" t="s">
        <v>43</v>
      </c>
      <c r="D39" s="4" t="s">
        <v>173</v>
      </c>
      <c r="E39" s="4">
        <v>12.0</v>
      </c>
      <c r="F39" s="4" t="s">
        <v>170</v>
      </c>
      <c r="G39" s="4" t="s">
        <v>171</v>
      </c>
      <c r="H39" s="4">
        <v>-34.6644271</v>
      </c>
      <c r="I39" s="4">
        <v>-58.6730388</v>
      </c>
      <c r="J39" s="4">
        <v>170.0</v>
      </c>
      <c r="K39" s="4">
        <v>150.0</v>
      </c>
      <c r="L39" s="4">
        <v>200.0</v>
      </c>
      <c r="M39" s="4">
        <v>200.0</v>
      </c>
      <c r="N39" s="4">
        <v>890.0</v>
      </c>
      <c r="O39" s="4">
        <v>148.0</v>
      </c>
      <c r="P39" s="4">
        <v>14253.0</v>
      </c>
      <c r="Q39" s="5">
        <v>8.727154133E8</v>
      </c>
      <c r="R39" s="6">
        <v>1.3709767E7</v>
      </c>
      <c r="S39" s="6">
        <v>1.1391725933E9</v>
      </c>
      <c r="T39" s="6">
        <v>2.502170152E9</v>
      </c>
      <c r="U39" s="4">
        <f t="shared" si="3"/>
        <v>0.544726168</v>
      </c>
      <c r="V39" s="7">
        <v>1.6906555E7</v>
      </c>
      <c r="W39" s="4" t="s">
        <v>47</v>
      </c>
      <c r="X39" s="7">
        <v>175554.0</v>
      </c>
      <c r="Y39" s="6">
        <v>2.085141793E8</v>
      </c>
      <c r="Z39" s="4">
        <v>15.20917017</v>
      </c>
      <c r="AA39" s="4">
        <v>6.574980677</v>
      </c>
      <c r="AB39" s="8">
        <v>0.0195</v>
      </c>
      <c r="AC39" s="4" t="s">
        <v>58</v>
      </c>
      <c r="AD39" s="6">
        <v>80645.69</v>
      </c>
      <c r="AE39" s="6">
        <v>15404.23</v>
      </c>
      <c r="AF39" s="6">
        <v>72808.9</v>
      </c>
      <c r="AG39" s="6">
        <v>16888.33</v>
      </c>
      <c r="AH39" s="4">
        <v>1.009879064</v>
      </c>
      <c r="AI39" s="4" t="s">
        <v>52</v>
      </c>
      <c r="AJ39" s="4">
        <v>2025.0</v>
      </c>
      <c r="AK39" s="6">
        <v>1.3709767E7</v>
      </c>
      <c r="AL39" s="6">
        <v>15404.23</v>
      </c>
      <c r="AM39" s="6">
        <v>8990.33</v>
      </c>
      <c r="AN39" s="8">
        <v>0.0713</v>
      </c>
      <c r="AO39" s="4">
        <v>61.74</v>
      </c>
      <c r="AP39" s="4">
        <v>1.009879064</v>
      </c>
    </row>
    <row r="40">
      <c r="A40" s="4">
        <v>6.0</v>
      </c>
      <c r="B40" s="4" t="s">
        <v>174</v>
      </c>
      <c r="C40" s="4" t="s">
        <v>43</v>
      </c>
      <c r="D40" s="4" t="s">
        <v>175</v>
      </c>
      <c r="E40" s="4">
        <v>12.0</v>
      </c>
      <c r="F40" s="4" t="s">
        <v>176</v>
      </c>
      <c r="G40" s="4" t="s">
        <v>158</v>
      </c>
      <c r="H40" s="4">
        <v>-34.5121984</v>
      </c>
      <c r="I40" s="4">
        <v>-58.7358657</v>
      </c>
      <c r="J40" s="4">
        <v>215.0</v>
      </c>
      <c r="K40" s="4">
        <v>150.0</v>
      </c>
      <c r="L40" s="4">
        <v>350.0</v>
      </c>
      <c r="M40" s="4">
        <v>200.0</v>
      </c>
      <c r="N40" s="4">
        <v>509.0</v>
      </c>
      <c r="O40" s="4">
        <v>6.0</v>
      </c>
      <c r="P40" s="4">
        <v>540.0</v>
      </c>
      <c r="Q40" s="5">
        <v>0.0</v>
      </c>
      <c r="R40" s="6">
        <v>0.0</v>
      </c>
      <c r="S40" s="6">
        <v>1.74970224E8</v>
      </c>
      <c r="T40" s="6">
        <v>6.1696249E7</v>
      </c>
      <c r="U40" s="4">
        <f t="shared" si="3"/>
        <v>-1.835994519</v>
      </c>
      <c r="V40" s="7">
        <v>1.0282708E7</v>
      </c>
      <c r="W40" s="4" t="s">
        <v>57</v>
      </c>
      <c r="X40" s="7">
        <v>114252.0</v>
      </c>
      <c r="Y40" s="6"/>
      <c r="Z40" s="4"/>
      <c r="AA40" s="4"/>
      <c r="AB40" s="8">
        <v>8.0E-4</v>
      </c>
      <c r="AC40" s="4" t="s">
        <v>48</v>
      </c>
      <c r="AD40" s="6"/>
      <c r="AE40" s="6"/>
      <c r="AF40" s="6">
        <v>66382.4</v>
      </c>
      <c r="AG40" s="6">
        <v>14642.27</v>
      </c>
      <c r="AH40" s="4">
        <v>0.0</v>
      </c>
      <c r="AI40" s="4" t="s">
        <v>64</v>
      </c>
      <c r="AJ40" s="4">
        <v>2025.0</v>
      </c>
      <c r="AK40" s="6">
        <v>0.0</v>
      </c>
      <c r="AL40" s="6">
        <v>0.0</v>
      </c>
      <c r="AM40" s="6">
        <v>5028.66</v>
      </c>
      <c r="AN40" s="8">
        <v>-0.1</v>
      </c>
      <c r="AO40" s="8"/>
      <c r="AP40" s="4">
        <v>0.0</v>
      </c>
    </row>
    <row r="41">
      <c r="A41" s="4">
        <v>57.0</v>
      </c>
      <c r="B41" s="4" t="s">
        <v>154</v>
      </c>
      <c r="C41" s="4" t="s">
        <v>43</v>
      </c>
      <c r="D41" s="4" t="s">
        <v>177</v>
      </c>
      <c r="E41" s="4">
        <v>12.0</v>
      </c>
      <c r="F41" s="4" t="s">
        <v>178</v>
      </c>
      <c r="G41" s="4" t="s">
        <v>179</v>
      </c>
      <c r="H41" s="4">
        <v>-34.9447903</v>
      </c>
      <c r="I41" s="4">
        <v>-57.9671573</v>
      </c>
      <c r="J41" s="4">
        <v>546.0</v>
      </c>
      <c r="K41" s="4">
        <v>360.0</v>
      </c>
      <c r="L41" s="4">
        <v>1000.0</v>
      </c>
      <c r="M41" s="4">
        <v>300.0</v>
      </c>
      <c r="N41" s="4">
        <v>1193.0</v>
      </c>
      <c r="O41" s="4">
        <v>155.0</v>
      </c>
      <c r="P41" s="4">
        <v>14898.0</v>
      </c>
      <c r="Q41" s="5">
        <v>8.7768705732E8</v>
      </c>
      <c r="R41" s="6">
        <v>2.440372E7</v>
      </c>
      <c r="S41" s="6">
        <v>1.04220426132E9</v>
      </c>
      <c r="T41" s="6">
        <v>2.904942682E9</v>
      </c>
      <c r="U41" s="4">
        <f t="shared" si="3"/>
        <v>0.641230697</v>
      </c>
      <c r="V41" s="7">
        <v>1.8741566E7</v>
      </c>
      <c r="W41" s="4" t="s">
        <v>47</v>
      </c>
      <c r="X41" s="7">
        <v>194989.0</v>
      </c>
      <c r="Y41" s="6">
        <v>2.420785568E8</v>
      </c>
      <c r="Z41" s="4">
        <v>9.919739975</v>
      </c>
      <c r="AA41" s="4">
        <v>10.0809094</v>
      </c>
      <c r="AB41" s="8">
        <v>0.0231</v>
      </c>
      <c r="AC41" s="4" t="s">
        <v>58</v>
      </c>
      <c r="AD41" s="6">
        <v>44695.46</v>
      </c>
      <c r="AE41" s="6">
        <v>19322.03</v>
      </c>
      <c r="AF41" s="6">
        <v>72808.9</v>
      </c>
      <c r="AG41" s="6">
        <v>16888.33</v>
      </c>
      <c r="AH41" s="4">
        <v>0.8789895446</v>
      </c>
      <c r="AI41" s="4" t="s">
        <v>52</v>
      </c>
      <c r="AJ41" s="4">
        <v>2025.0</v>
      </c>
      <c r="AK41" s="6">
        <v>2.440372E7</v>
      </c>
      <c r="AL41" s="6">
        <v>19322.03</v>
      </c>
      <c r="AM41" s="6">
        <v>8990.33</v>
      </c>
      <c r="AN41" s="8">
        <v>0.1149</v>
      </c>
      <c r="AO41" s="4">
        <v>64.64</v>
      </c>
      <c r="AP41" s="4">
        <v>0.8789895446</v>
      </c>
    </row>
    <row r="42">
      <c r="A42" s="4">
        <v>28.0</v>
      </c>
      <c r="B42" s="4" t="s">
        <v>180</v>
      </c>
      <c r="C42" s="4" t="s">
        <v>43</v>
      </c>
      <c r="D42" s="4" t="s">
        <v>181</v>
      </c>
      <c r="E42" s="4">
        <v>0.0</v>
      </c>
      <c r="F42" s="4" t="s">
        <v>182</v>
      </c>
      <c r="G42" s="4" t="s">
        <v>180</v>
      </c>
      <c r="H42" s="4">
        <v>-34.6449044</v>
      </c>
      <c r="I42" s="4">
        <v>-58.5104786</v>
      </c>
      <c r="J42" s="4">
        <v>212.0</v>
      </c>
      <c r="K42" s="4">
        <v>170.0</v>
      </c>
      <c r="L42" s="4">
        <v>300.0</v>
      </c>
      <c r="M42" s="4">
        <v>200.0</v>
      </c>
      <c r="N42" s="4">
        <v>1619.0</v>
      </c>
      <c r="O42" s="4">
        <v>125.0</v>
      </c>
      <c r="P42" s="4">
        <v>11596.0</v>
      </c>
      <c r="Q42" s="5">
        <v>9.0297648736E8</v>
      </c>
      <c r="R42" s="6">
        <v>2.7942105E7</v>
      </c>
      <c r="S42" s="6">
        <v>1.2382817473600001E9</v>
      </c>
      <c r="T42" s="6">
        <v>2.280730409E9</v>
      </c>
      <c r="U42" s="4">
        <f t="shared" si="3"/>
        <v>0.4570679014</v>
      </c>
      <c r="V42" s="7">
        <v>1.8245843E7</v>
      </c>
      <c r="W42" s="4" t="s">
        <v>57</v>
      </c>
      <c r="X42" s="7">
        <v>196683.0</v>
      </c>
      <c r="Y42" s="6">
        <v>1.900608674E8</v>
      </c>
      <c r="Z42" s="4">
        <v>6.801952373</v>
      </c>
      <c r="AA42" s="4">
        <v>14.7016613</v>
      </c>
      <c r="AB42" s="8">
        <v>0.0139</v>
      </c>
      <c r="AC42" s="4" t="s">
        <v>73</v>
      </c>
      <c r="AD42" s="6">
        <v>131802.38</v>
      </c>
      <c r="AE42" s="6">
        <v>73531.86</v>
      </c>
      <c r="AF42" s="6">
        <v>85028.56</v>
      </c>
      <c r="AG42" s="6">
        <v>34134.85</v>
      </c>
      <c r="AH42" s="4">
        <v>1.852126701</v>
      </c>
      <c r="AI42" s="4" t="s">
        <v>49</v>
      </c>
      <c r="AJ42" s="4">
        <v>2025.0</v>
      </c>
      <c r="AK42" s="6">
        <v>2.7942105E7</v>
      </c>
      <c r="AL42" s="6">
        <v>73531.86</v>
      </c>
      <c r="AM42" s="6">
        <v>18972.12</v>
      </c>
      <c r="AN42" s="8">
        <v>0.2876</v>
      </c>
      <c r="AO42" s="4">
        <v>45.18</v>
      </c>
      <c r="AP42" s="4">
        <v>1.852126701</v>
      </c>
    </row>
    <row r="43">
      <c r="A43" s="4">
        <v>126.0</v>
      </c>
      <c r="B43" s="4" t="s">
        <v>183</v>
      </c>
      <c r="C43" s="4" t="s">
        <v>43</v>
      </c>
      <c r="D43" s="4" t="s">
        <v>184</v>
      </c>
      <c r="E43" s="4">
        <v>12.0</v>
      </c>
      <c r="F43" s="4" t="s">
        <v>185</v>
      </c>
      <c r="G43" s="4" t="s">
        <v>186</v>
      </c>
      <c r="H43" s="4">
        <v>-34.7605549</v>
      </c>
      <c r="I43" s="4">
        <v>-58.4109135</v>
      </c>
      <c r="J43" s="4">
        <v>165.0</v>
      </c>
      <c r="K43" s="4">
        <v>150.0</v>
      </c>
      <c r="L43" s="4">
        <v>200.0</v>
      </c>
      <c r="M43" s="4">
        <v>150.0</v>
      </c>
      <c r="N43" s="4">
        <v>380.0</v>
      </c>
      <c r="O43" s="4">
        <v>47.0</v>
      </c>
      <c r="P43" s="4">
        <v>4455.0</v>
      </c>
      <c r="Q43" s="5">
        <v>3.274625686E7</v>
      </c>
      <c r="R43" s="6">
        <v>2.7814743E7</v>
      </c>
      <c r="S43" s="6">
        <v>3.2559089686E8</v>
      </c>
      <c r="T43" s="6">
        <v>6.59158356E8</v>
      </c>
      <c r="U43" s="4">
        <f t="shared" si="3"/>
        <v>0.506050566</v>
      </c>
      <c r="V43" s="7">
        <v>1.4024646E7</v>
      </c>
      <c r="W43" s="4" t="s">
        <v>47</v>
      </c>
      <c r="X43" s="7">
        <v>147959.0</v>
      </c>
      <c r="Y43" s="6">
        <v>9.416547943E7</v>
      </c>
      <c r="Z43" s="4">
        <v>3.385452076</v>
      </c>
      <c r="AA43" s="4">
        <v>29.53815259</v>
      </c>
      <c r="AB43" s="8">
        <v>0.0039</v>
      </c>
      <c r="AC43" s="4" t="s">
        <v>73</v>
      </c>
      <c r="AD43" s="6">
        <v>168574.2</v>
      </c>
      <c r="AE43" s="6">
        <v>20199.52</v>
      </c>
      <c r="AF43" s="6">
        <v>85028.56</v>
      </c>
      <c r="AG43" s="6">
        <v>34134.85</v>
      </c>
      <c r="AH43" s="4">
        <v>1.287158219</v>
      </c>
      <c r="AI43" s="4" t="s">
        <v>49</v>
      </c>
      <c r="AJ43" s="4">
        <v>2025.0</v>
      </c>
      <c r="AK43" s="6">
        <v>2.7814743E7</v>
      </c>
      <c r="AL43" s="6">
        <v>20199.52</v>
      </c>
      <c r="AM43" s="6">
        <v>18972.12</v>
      </c>
      <c r="AN43" s="8">
        <v>0.0065</v>
      </c>
      <c r="AO43" s="4">
        <v>8.38</v>
      </c>
      <c r="AP43" s="4">
        <v>1.287158219</v>
      </c>
    </row>
    <row r="44">
      <c r="A44" s="4">
        <v>80.0</v>
      </c>
      <c r="B44" s="4" t="s">
        <v>187</v>
      </c>
      <c r="C44" s="4" t="s">
        <v>43</v>
      </c>
      <c r="D44" s="4" t="s">
        <v>188</v>
      </c>
      <c r="E44" s="4">
        <v>12.0</v>
      </c>
      <c r="F44" s="4" t="s">
        <v>189</v>
      </c>
      <c r="G44" s="4" t="s">
        <v>190</v>
      </c>
      <c r="H44" s="4">
        <v>-38.0110486</v>
      </c>
      <c r="I44" s="4">
        <v>-57.6338141</v>
      </c>
      <c r="J44" s="4">
        <v>339.0</v>
      </c>
      <c r="K44" s="4">
        <v>190.0</v>
      </c>
      <c r="L44" s="4">
        <v>600.0</v>
      </c>
      <c r="M44" s="4">
        <v>450.0</v>
      </c>
      <c r="N44" s="4">
        <v>755.0</v>
      </c>
      <c r="O44" s="4">
        <v>105.0</v>
      </c>
      <c r="P44" s="4">
        <v>10848.0</v>
      </c>
      <c r="Q44" s="5">
        <v>7.0657331226E8</v>
      </c>
      <c r="R44" s="6">
        <v>2.1012718E7</v>
      </c>
      <c r="S44" s="6">
        <v>1.04187857226E9</v>
      </c>
      <c r="T44" s="6">
        <v>1.957206224E9</v>
      </c>
      <c r="U44" s="4">
        <f t="shared" si="3"/>
        <v>0.4676705196</v>
      </c>
      <c r="V44" s="7">
        <v>1.8640059E7</v>
      </c>
      <c r="W44" s="4" t="s">
        <v>47</v>
      </c>
      <c r="X44" s="7">
        <v>180421.0</v>
      </c>
      <c r="Y44" s="6">
        <v>1.631005187E8</v>
      </c>
      <c r="Z44" s="4">
        <v>7.761990556</v>
      </c>
      <c r="AA44" s="4">
        <v>12.88329318</v>
      </c>
      <c r="AB44" s="8">
        <v>0.0133</v>
      </c>
      <c r="AC44" s="4" t="s">
        <v>48</v>
      </c>
      <c r="AD44" s="6">
        <v>61984.42</v>
      </c>
      <c r="AE44" s="6">
        <v>27794.6</v>
      </c>
      <c r="AF44" s="6">
        <v>66382.4</v>
      </c>
      <c r="AG44" s="6">
        <v>14642.27</v>
      </c>
      <c r="AH44" s="4">
        <v>1.415996094</v>
      </c>
      <c r="AI44" s="4" t="s">
        <v>49</v>
      </c>
      <c r="AJ44" s="4">
        <v>2025.0</v>
      </c>
      <c r="AK44" s="6">
        <v>2.1012718E7</v>
      </c>
      <c r="AL44" s="6">
        <v>27794.6</v>
      </c>
      <c r="AM44" s="6">
        <v>5028.66</v>
      </c>
      <c r="AN44" s="8">
        <v>0.4527</v>
      </c>
      <c r="AO44" s="4">
        <v>45.99</v>
      </c>
      <c r="AP44" s="4">
        <v>1.415996094</v>
      </c>
    </row>
    <row r="45">
      <c r="A45" s="4">
        <v>8.0</v>
      </c>
      <c r="B45" s="4" t="s">
        <v>191</v>
      </c>
      <c r="C45" s="4" t="s">
        <v>43</v>
      </c>
      <c r="D45" s="4" t="s">
        <v>192</v>
      </c>
      <c r="E45" s="4">
        <v>7.0</v>
      </c>
      <c r="F45" s="4" t="s">
        <v>127</v>
      </c>
      <c r="G45" s="4" t="s">
        <v>128</v>
      </c>
      <c r="H45" s="4">
        <v>-34.4925458</v>
      </c>
      <c r="I45" s="4">
        <v>-58.5112071</v>
      </c>
      <c r="J45" s="4">
        <v>195.0</v>
      </c>
      <c r="K45" s="4">
        <v>150.0</v>
      </c>
      <c r="L45" s="4">
        <v>300.0</v>
      </c>
      <c r="M45" s="4">
        <v>150.0</v>
      </c>
      <c r="N45" s="4">
        <v>1377.0</v>
      </c>
      <c r="O45" s="4">
        <v>128.0</v>
      </c>
      <c r="P45" s="4">
        <v>11757.0</v>
      </c>
      <c r="Q45" s="5">
        <v>6.580456071E8</v>
      </c>
      <c r="R45" s="6">
        <v>1.1413638E7</v>
      </c>
      <c r="S45" s="6">
        <v>8.527488081E8</v>
      </c>
      <c r="T45" s="6">
        <v>1.593533313E9</v>
      </c>
      <c r="U45" s="4">
        <f t="shared" si="3"/>
        <v>0.4648691677</v>
      </c>
      <c r="V45" s="7">
        <v>1.2449479E7</v>
      </c>
      <c r="W45" s="4" t="s">
        <v>57</v>
      </c>
      <c r="X45" s="7">
        <v>135539.0</v>
      </c>
      <c r="Y45" s="6">
        <v>1.327944428E8</v>
      </c>
      <c r="Z45" s="4">
        <v>11.63471653</v>
      </c>
      <c r="AA45" s="4">
        <v>8.594966599</v>
      </c>
      <c r="AB45" s="8">
        <v>0.0106</v>
      </c>
      <c r="AC45" s="4" t="s">
        <v>81</v>
      </c>
      <c r="AD45" s="6">
        <v>58531.48</v>
      </c>
      <c r="AE45" s="6">
        <v>8937.85</v>
      </c>
      <c r="AF45" s="6">
        <v>68588.96</v>
      </c>
      <c r="AG45" s="6">
        <v>16616.31</v>
      </c>
      <c r="AH45" s="4">
        <v>0.6956310461</v>
      </c>
      <c r="AI45" s="4" t="s">
        <v>64</v>
      </c>
      <c r="AJ45" s="4">
        <v>2025.0</v>
      </c>
      <c r="AK45" s="6">
        <v>1.1413638E7</v>
      </c>
      <c r="AL45" s="6">
        <v>8937.85</v>
      </c>
      <c r="AM45" s="6">
        <v>25531.22</v>
      </c>
      <c r="AN45" s="8">
        <v>-0.065</v>
      </c>
      <c r="AO45" s="4">
        <v>42.76</v>
      </c>
      <c r="AP45" s="4">
        <v>0.6956310461</v>
      </c>
    </row>
    <row r="46">
      <c r="A46" s="4">
        <v>20.0</v>
      </c>
      <c r="B46" s="4" t="s">
        <v>193</v>
      </c>
      <c r="C46" s="4" t="s">
        <v>43</v>
      </c>
      <c r="D46" s="4" t="s">
        <v>194</v>
      </c>
      <c r="E46" s="4">
        <v>12.0</v>
      </c>
      <c r="F46" s="4" t="s">
        <v>195</v>
      </c>
      <c r="G46" s="4" t="s">
        <v>196</v>
      </c>
      <c r="H46" s="4">
        <v>-34.3781123</v>
      </c>
      <c r="I46" s="4">
        <v>-58.7523416</v>
      </c>
      <c r="J46" s="4">
        <v>405.0</v>
      </c>
      <c r="K46" s="4">
        <v>200.0</v>
      </c>
      <c r="L46" s="4">
        <v>800.0</v>
      </c>
      <c r="M46" s="4">
        <v>450.0</v>
      </c>
      <c r="N46" s="4">
        <v>756.0</v>
      </c>
      <c r="O46" s="4">
        <v>113.0</v>
      </c>
      <c r="P46" s="4">
        <v>12438.0</v>
      </c>
      <c r="Q46" s="5">
        <v>8.9601380296E8</v>
      </c>
      <c r="R46" s="6">
        <v>2.8460167E7</v>
      </c>
      <c r="S46" s="6">
        <v>1.14816641896E9</v>
      </c>
      <c r="T46" s="6">
        <v>2.706339282E9</v>
      </c>
      <c r="U46" s="4">
        <f t="shared" si="3"/>
        <v>0.5757492689</v>
      </c>
      <c r="V46" s="7">
        <v>2.3949905E7</v>
      </c>
      <c r="W46" s="4" t="s">
        <v>47</v>
      </c>
      <c r="X46" s="7">
        <v>217586.0</v>
      </c>
      <c r="Y46" s="6">
        <v>2.255282735E8</v>
      </c>
      <c r="Z46" s="4">
        <v>7.924348213</v>
      </c>
      <c r="AA46" s="4">
        <v>12.6193344</v>
      </c>
      <c r="AB46" s="8">
        <v>0.0196</v>
      </c>
      <c r="AC46" s="4" t="s">
        <v>73</v>
      </c>
      <c r="AD46" s="6">
        <v>70272.02</v>
      </c>
      <c r="AE46" s="6">
        <v>59168.75</v>
      </c>
      <c r="AF46" s="6">
        <v>85028.56</v>
      </c>
      <c r="AG46" s="6">
        <v>34134.85</v>
      </c>
      <c r="AH46" s="4">
        <v>1.279917176</v>
      </c>
      <c r="AI46" s="4" t="s">
        <v>49</v>
      </c>
      <c r="AJ46" s="4">
        <v>2025.0</v>
      </c>
      <c r="AK46" s="6">
        <v>2.8460167E7</v>
      </c>
      <c r="AL46" s="6">
        <v>59168.75</v>
      </c>
      <c r="AM46" s="6">
        <v>18972.12</v>
      </c>
      <c r="AN46" s="8">
        <v>0.2119</v>
      </c>
      <c r="AO46" s="4">
        <v>59.89</v>
      </c>
      <c r="AP46" s="4">
        <v>1.279917176</v>
      </c>
    </row>
    <row r="47">
      <c r="A47" s="4">
        <v>47.0</v>
      </c>
      <c r="B47" s="4" t="s">
        <v>197</v>
      </c>
      <c r="C47" s="4" t="s">
        <v>43</v>
      </c>
      <c r="D47" s="4" t="s">
        <v>198</v>
      </c>
      <c r="E47" s="4">
        <v>12.0</v>
      </c>
      <c r="F47" s="4" t="s">
        <v>199</v>
      </c>
      <c r="G47" s="4" t="s">
        <v>197</v>
      </c>
      <c r="H47" s="4">
        <v>-34.6698855</v>
      </c>
      <c r="I47" s="4">
        <v>-58.7378994</v>
      </c>
      <c r="J47" s="4">
        <v>249.0</v>
      </c>
      <c r="K47" s="4">
        <v>180.0</v>
      </c>
      <c r="L47" s="4">
        <v>400.0</v>
      </c>
      <c r="M47" s="4">
        <v>210.0</v>
      </c>
      <c r="N47" s="4">
        <v>1277.0</v>
      </c>
      <c r="O47" s="4">
        <v>131.0</v>
      </c>
      <c r="P47" s="4">
        <v>12296.0</v>
      </c>
      <c r="Q47" s="5">
        <v>7.1614735415E8</v>
      </c>
      <c r="R47" s="6">
        <v>1.4161443E7</v>
      </c>
      <c r="S47" s="6">
        <v>8.5311101015E8</v>
      </c>
      <c r="T47" s="6">
        <v>1.701275612E9</v>
      </c>
      <c r="U47" s="4">
        <f t="shared" si="3"/>
        <v>0.4985462649</v>
      </c>
      <c r="V47" s="7">
        <v>1.2986837E7</v>
      </c>
      <c r="W47" s="4" t="s">
        <v>57</v>
      </c>
      <c r="X47" s="7">
        <v>138360.0</v>
      </c>
      <c r="Y47" s="6">
        <v>1.417729677E8</v>
      </c>
      <c r="Z47" s="4">
        <v>10.01119502</v>
      </c>
      <c r="AA47" s="4">
        <v>9.988817497</v>
      </c>
      <c r="AB47" s="8">
        <v>0.0109</v>
      </c>
      <c r="AC47" s="4" t="s">
        <v>48</v>
      </c>
      <c r="AD47" s="6">
        <v>56873.27</v>
      </c>
      <c r="AE47" s="6">
        <v>14049.05</v>
      </c>
      <c r="AF47" s="6">
        <v>66382.4</v>
      </c>
      <c r="AG47" s="6">
        <v>14642.27</v>
      </c>
      <c r="AH47" s="4">
        <v>0.9081191024</v>
      </c>
      <c r="AI47" s="4" t="s">
        <v>52</v>
      </c>
      <c r="AJ47" s="4">
        <v>2025.0</v>
      </c>
      <c r="AK47" s="6">
        <v>1.4161443E7</v>
      </c>
      <c r="AL47" s="6">
        <v>14049.05</v>
      </c>
      <c r="AM47" s="6">
        <v>5028.66</v>
      </c>
      <c r="AN47" s="8">
        <v>0.1794</v>
      </c>
      <c r="AO47" s="4">
        <v>41.69</v>
      </c>
      <c r="AP47" s="4">
        <v>0.9081191024</v>
      </c>
    </row>
    <row r="48">
      <c r="A48" s="4">
        <v>118.0</v>
      </c>
      <c r="B48" s="4" t="s">
        <v>200</v>
      </c>
      <c r="C48" s="4" t="s">
        <v>43</v>
      </c>
      <c r="D48" s="4" t="s">
        <v>201</v>
      </c>
      <c r="E48" s="4">
        <v>12.0</v>
      </c>
      <c r="F48" s="4" t="s">
        <v>199</v>
      </c>
      <c r="G48" s="4" t="s">
        <v>197</v>
      </c>
      <c r="H48" s="4">
        <v>-34.6611266</v>
      </c>
      <c r="I48" s="4">
        <v>-58.7535712</v>
      </c>
      <c r="J48" s="4">
        <v>176.0</v>
      </c>
      <c r="K48" s="4">
        <v>170.0</v>
      </c>
      <c r="L48" s="4">
        <v>180.0</v>
      </c>
      <c r="M48" s="4">
        <v>200.0</v>
      </c>
      <c r="N48" s="4">
        <v>481.0</v>
      </c>
      <c r="O48" s="4">
        <v>104.0</v>
      </c>
      <c r="P48" s="4">
        <v>9825.0</v>
      </c>
      <c r="Q48" s="5">
        <v>4.591949367E7</v>
      </c>
      <c r="R48" s="6">
        <v>1.1683303E7</v>
      </c>
      <c r="S48" s="6">
        <v>3.8744149767E8</v>
      </c>
      <c r="T48" s="6">
        <v>1.306198384E9</v>
      </c>
      <c r="U48" s="4">
        <f t="shared" si="3"/>
        <v>0.703382348</v>
      </c>
      <c r="V48" s="7">
        <v>1.25596E7</v>
      </c>
      <c r="W48" s="4" t="s">
        <v>47</v>
      </c>
      <c r="X48" s="7">
        <v>132946.0</v>
      </c>
      <c r="Y48" s="6">
        <v>1.306198384E8</v>
      </c>
      <c r="Z48" s="4">
        <v>11.18004373</v>
      </c>
      <c r="AA48" s="4">
        <v>8.944508846</v>
      </c>
      <c r="AB48" s="8">
        <v>0.0149</v>
      </c>
      <c r="AC48" s="4" t="s">
        <v>48</v>
      </c>
      <c r="AD48" s="6">
        <v>66382.4</v>
      </c>
      <c r="AE48" s="6">
        <v>14076.27</v>
      </c>
      <c r="AF48" s="6">
        <v>66382.4</v>
      </c>
      <c r="AG48" s="6">
        <v>14642.27</v>
      </c>
      <c r="AH48" s="4">
        <v>0.9806724762</v>
      </c>
      <c r="AI48" s="4" t="s">
        <v>52</v>
      </c>
      <c r="AJ48" s="4">
        <v>2025.0</v>
      </c>
      <c r="AK48" s="6">
        <v>1.1683303E7</v>
      </c>
      <c r="AL48" s="6">
        <v>14076.27</v>
      </c>
      <c r="AM48" s="6">
        <v>5028.66</v>
      </c>
      <c r="AN48" s="8">
        <v>0.1799</v>
      </c>
      <c r="AO48" s="4">
        <v>48.78</v>
      </c>
      <c r="AP48" s="4">
        <v>0.9806724762</v>
      </c>
    </row>
    <row r="49">
      <c r="A49" s="4">
        <v>10.0</v>
      </c>
      <c r="B49" s="4" t="s">
        <v>202</v>
      </c>
      <c r="C49" s="4" t="s">
        <v>43</v>
      </c>
      <c r="D49" s="4" t="s">
        <v>203</v>
      </c>
      <c r="E49" s="4">
        <v>12.0</v>
      </c>
      <c r="F49" s="4" t="s">
        <v>45</v>
      </c>
      <c r="G49" s="4" t="s">
        <v>202</v>
      </c>
      <c r="H49" s="4">
        <v>-34.6462046</v>
      </c>
      <c r="I49" s="4">
        <v>-58.8029366</v>
      </c>
      <c r="J49" s="4">
        <v>220.0</v>
      </c>
      <c r="K49" s="4">
        <v>180.0</v>
      </c>
      <c r="L49" s="4">
        <v>300.0</v>
      </c>
      <c r="M49" s="4">
        <v>220.0</v>
      </c>
      <c r="N49" s="4">
        <v>1008.0</v>
      </c>
      <c r="O49" s="4">
        <v>130.0</v>
      </c>
      <c r="P49" s="4">
        <v>11867.0</v>
      </c>
      <c r="Q49" s="5">
        <v>8.1606411928E8</v>
      </c>
      <c r="R49" s="6">
        <v>1.9693848E7</v>
      </c>
      <c r="S49" s="6">
        <v>9.8600143528E8</v>
      </c>
      <c r="T49" s="6">
        <v>2.187953522E9</v>
      </c>
      <c r="U49" s="4">
        <f t="shared" si="3"/>
        <v>0.5493499175</v>
      </c>
      <c r="V49" s="7">
        <v>1.6830412E7</v>
      </c>
      <c r="W49" s="4" t="s">
        <v>57</v>
      </c>
      <c r="X49" s="7">
        <v>184373.0</v>
      </c>
      <c r="Y49" s="6">
        <v>1.823294602E8</v>
      </c>
      <c r="Z49" s="4">
        <v>9.258193735</v>
      </c>
      <c r="AA49" s="4">
        <v>10.80124297</v>
      </c>
      <c r="AB49" s="8">
        <v>0.0151</v>
      </c>
      <c r="AC49" s="4" t="s">
        <v>48</v>
      </c>
      <c r="AD49" s="6">
        <v>89517.49</v>
      </c>
      <c r="AE49" s="6">
        <v>14642.27</v>
      </c>
      <c r="AF49" s="6">
        <v>66382.4</v>
      </c>
      <c r="AG49" s="6">
        <v>14642.27</v>
      </c>
      <c r="AH49" s="4">
        <v>1.174256176</v>
      </c>
      <c r="AI49" s="4" t="s">
        <v>52</v>
      </c>
      <c r="AJ49" s="4">
        <v>2025.0</v>
      </c>
      <c r="AK49" s="6">
        <v>1.9693848E7</v>
      </c>
      <c r="AL49" s="6">
        <v>14642.27</v>
      </c>
      <c r="AM49" s="6">
        <v>5028.66</v>
      </c>
      <c r="AN49" s="8">
        <v>0.1912</v>
      </c>
      <c r="AO49" s="4">
        <v>50.47</v>
      </c>
      <c r="AP49" s="4">
        <v>1.174256176</v>
      </c>
    </row>
    <row r="50">
      <c r="A50" s="4">
        <v>43.0</v>
      </c>
      <c r="B50" s="4" t="s">
        <v>204</v>
      </c>
      <c r="C50" s="4" t="s">
        <v>43</v>
      </c>
      <c r="D50" s="4" t="s">
        <v>205</v>
      </c>
      <c r="E50" s="4">
        <v>10.0</v>
      </c>
      <c r="F50" s="4" t="s">
        <v>206</v>
      </c>
      <c r="G50" s="4" t="s">
        <v>147</v>
      </c>
      <c r="H50" s="4">
        <v>-34.6333369</v>
      </c>
      <c r="I50" s="4">
        <v>-58.6312473</v>
      </c>
      <c r="J50" s="4">
        <v>265.0</v>
      </c>
      <c r="K50" s="4">
        <v>200.0</v>
      </c>
      <c r="L50" s="4">
        <v>400.0</v>
      </c>
      <c r="M50" s="4">
        <v>250.0</v>
      </c>
      <c r="N50" s="4">
        <v>830.0</v>
      </c>
      <c r="O50" s="4">
        <v>111.0</v>
      </c>
      <c r="P50" s="4">
        <v>10318.0</v>
      </c>
      <c r="Q50" s="5">
        <v>6.6750527468E8</v>
      </c>
      <c r="R50" s="6">
        <v>1.7174943E7</v>
      </c>
      <c r="S50" s="6">
        <v>7.8433830468E8</v>
      </c>
      <c r="T50" s="6">
        <v>1.731634008E9</v>
      </c>
      <c r="U50" s="4">
        <f t="shared" si="3"/>
        <v>0.5470530718</v>
      </c>
      <c r="V50" s="7">
        <v>1.5600306E7</v>
      </c>
      <c r="W50" s="4" t="s">
        <v>57</v>
      </c>
      <c r="X50" s="7">
        <v>167827.0</v>
      </c>
      <c r="Y50" s="6">
        <v>1.44302834E8</v>
      </c>
      <c r="Z50" s="4">
        <v>8.401939616</v>
      </c>
      <c r="AA50" s="4">
        <v>11.90201365</v>
      </c>
      <c r="AB50" s="8">
        <v>0.0114</v>
      </c>
      <c r="AC50" s="4" t="s">
        <v>48</v>
      </c>
      <c r="AD50" s="6">
        <v>64811.11</v>
      </c>
      <c r="AE50" s="6">
        <v>11449.96</v>
      </c>
      <c r="AF50" s="6">
        <v>66382.4</v>
      </c>
      <c r="AG50" s="6">
        <v>14642.27</v>
      </c>
      <c r="AH50" s="4">
        <v>0.8791548944</v>
      </c>
      <c r="AI50" s="4" t="s">
        <v>52</v>
      </c>
      <c r="AJ50" s="4">
        <v>2025.0</v>
      </c>
      <c r="AK50" s="6">
        <v>1.7174943E7</v>
      </c>
      <c r="AL50" s="6">
        <v>11449.96</v>
      </c>
      <c r="AM50" s="6">
        <v>5028.66</v>
      </c>
      <c r="AN50" s="8">
        <v>0.1277</v>
      </c>
      <c r="AO50" s="4">
        <v>42.32</v>
      </c>
      <c r="AP50" s="4">
        <v>0.8791548944</v>
      </c>
    </row>
    <row r="51">
      <c r="A51" s="4">
        <v>56.0</v>
      </c>
      <c r="B51" s="4" t="s">
        <v>207</v>
      </c>
      <c r="C51" s="4" t="s">
        <v>43</v>
      </c>
      <c r="D51" s="4" t="s">
        <v>208</v>
      </c>
      <c r="E51" s="4">
        <v>12.0</v>
      </c>
      <c r="F51" s="4" t="s">
        <v>209</v>
      </c>
      <c r="G51" s="4" t="s">
        <v>210</v>
      </c>
      <c r="H51" s="4">
        <v>-34.5423362</v>
      </c>
      <c r="I51" s="4">
        <v>-58.4597883</v>
      </c>
      <c r="J51" s="4">
        <v>417.0</v>
      </c>
      <c r="K51" s="4">
        <v>300.0</v>
      </c>
      <c r="L51" s="4">
        <v>700.0</v>
      </c>
      <c r="M51" s="4">
        <v>270.0</v>
      </c>
      <c r="N51" s="4">
        <v>1345.0</v>
      </c>
      <c r="O51" s="4">
        <v>136.0</v>
      </c>
      <c r="P51" s="4">
        <v>18669.0</v>
      </c>
      <c r="Q51" s="5">
        <v>1.12719034626E9</v>
      </c>
      <c r="R51" s="6">
        <v>1.3714743E7</v>
      </c>
      <c r="S51" s="6">
        <v>1.36351652226E9</v>
      </c>
      <c r="T51" s="6">
        <v>3.068327889E9</v>
      </c>
      <c r="U51" s="4">
        <f t="shared" si="3"/>
        <v>0.5556157713</v>
      </c>
      <c r="V51" s="7">
        <v>2.2561234E7</v>
      </c>
      <c r="W51" s="4" t="s">
        <v>47</v>
      </c>
      <c r="X51" s="7">
        <v>164354.0</v>
      </c>
      <c r="Y51" s="6">
        <v>2.556939908E8</v>
      </c>
      <c r="Z51" s="4">
        <v>18.64373184</v>
      </c>
      <c r="AA51" s="4">
        <v>5.363733015</v>
      </c>
      <c r="AB51" s="8">
        <v>0.0237</v>
      </c>
      <c r="AC51" s="4" t="s">
        <v>81</v>
      </c>
      <c r="AD51" s="6">
        <v>32889.07</v>
      </c>
      <c r="AE51" s="6">
        <v>9143.16</v>
      </c>
      <c r="AF51" s="6">
        <v>68588.96</v>
      </c>
      <c r="AG51" s="6">
        <v>16616.31</v>
      </c>
      <c r="AH51" s="4">
        <v>0.5148809088</v>
      </c>
      <c r="AI51" s="4" t="s">
        <v>64</v>
      </c>
      <c r="AJ51" s="4">
        <v>2025.0</v>
      </c>
      <c r="AK51" s="6">
        <v>1.3714743E7</v>
      </c>
      <c r="AL51" s="6">
        <v>9143.16</v>
      </c>
      <c r="AM51" s="6">
        <v>25531.22</v>
      </c>
      <c r="AN51" s="8">
        <v>-0.0642</v>
      </c>
      <c r="AO51" s="4">
        <v>71.73</v>
      </c>
      <c r="AP51" s="4">
        <v>0.5148809088</v>
      </c>
    </row>
    <row r="52">
      <c r="A52" s="4">
        <v>12.0</v>
      </c>
      <c r="B52" s="4" t="s">
        <v>211</v>
      </c>
      <c r="C52" s="4" t="s">
        <v>43</v>
      </c>
      <c r="D52" s="4" t="s">
        <v>212</v>
      </c>
      <c r="E52" s="4">
        <v>12.0</v>
      </c>
      <c r="F52" s="4" t="s">
        <v>213</v>
      </c>
      <c r="G52" s="4" t="s">
        <v>211</v>
      </c>
      <c r="H52" s="4">
        <v>-34.5022955</v>
      </c>
      <c r="I52" s="4">
        <v>-58.4778777</v>
      </c>
      <c r="J52" s="4">
        <v>248.0</v>
      </c>
      <c r="K52" s="4">
        <v>180.0</v>
      </c>
      <c r="L52" s="4">
        <v>400.0</v>
      </c>
      <c r="M52" s="4">
        <v>200.0</v>
      </c>
      <c r="N52" s="4">
        <v>1500.0</v>
      </c>
      <c r="O52" s="4">
        <v>55.0</v>
      </c>
      <c r="P52" s="4">
        <v>6169.0</v>
      </c>
      <c r="Q52" s="5">
        <v>5.0092114788E8</v>
      </c>
      <c r="R52" s="6">
        <v>1.65E7</v>
      </c>
      <c r="S52" s="6">
        <v>7.0702046388E8</v>
      </c>
      <c r="T52" s="6">
        <v>1.121489613E9</v>
      </c>
      <c r="U52" s="4">
        <f t="shared" si="3"/>
        <v>0.3695702076</v>
      </c>
      <c r="V52" s="7">
        <v>2.039072E7</v>
      </c>
      <c r="W52" s="4" t="s">
        <v>47</v>
      </c>
      <c r="X52" s="7">
        <v>181794.0</v>
      </c>
      <c r="Y52" s="6">
        <v>9.345746775E7</v>
      </c>
      <c r="Z52" s="4">
        <v>5.664088955</v>
      </c>
      <c r="AA52" s="4">
        <v>17.65508995</v>
      </c>
      <c r="AB52" s="8">
        <v>0.0056</v>
      </c>
      <c r="AC52" s="4" t="s">
        <v>81</v>
      </c>
      <c r="AD52" s="6">
        <v>66532.26</v>
      </c>
      <c r="AE52" s="6">
        <v>16616.31</v>
      </c>
      <c r="AF52" s="6">
        <v>68588.96</v>
      </c>
      <c r="AG52" s="6">
        <v>16616.31</v>
      </c>
      <c r="AH52" s="4">
        <v>0.9850070483</v>
      </c>
      <c r="AI52" s="4" t="s">
        <v>52</v>
      </c>
      <c r="AJ52" s="4">
        <v>2025.0</v>
      </c>
      <c r="AK52" s="6">
        <v>1.65E7</v>
      </c>
      <c r="AL52" s="6">
        <v>16616.31</v>
      </c>
      <c r="AM52" s="6">
        <v>25531.22</v>
      </c>
      <c r="AN52" s="8">
        <v>-0.0349</v>
      </c>
      <c r="AO52" s="4">
        <v>29.76</v>
      </c>
      <c r="AP52" s="4">
        <v>0.9850070483</v>
      </c>
    </row>
    <row r="53">
      <c r="A53" s="4">
        <v>3.0</v>
      </c>
      <c r="B53" s="4" t="s">
        <v>214</v>
      </c>
      <c r="C53" s="4" t="s">
        <v>43</v>
      </c>
      <c r="D53" s="4" t="s">
        <v>212</v>
      </c>
      <c r="E53" s="4">
        <v>12.0</v>
      </c>
      <c r="F53" s="4" t="s">
        <v>213</v>
      </c>
      <c r="G53" s="4" t="s">
        <v>211</v>
      </c>
      <c r="H53" s="4">
        <v>-34.5022955</v>
      </c>
      <c r="I53" s="4">
        <v>-58.4778777</v>
      </c>
      <c r="J53" s="4">
        <v>287.0</v>
      </c>
      <c r="K53" s="4">
        <v>100.0</v>
      </c>
      <c r="L53" s="4">
        <v>700.0</v>
      </c>
      <c r="M53" s="4">
        <v>170.0</v>
      </c>
      <c r="N53" s="4">
        <v>1500.0</v>
      </c>
      <c r="O53" s="4">
        <v>60.0</v>
      </c>
      <c r="P53" s="4">
        <v>5380.0</v>
      </c>
      <c r="Q53" s="5">
        <v>5.3358294796E8</v>
      </c>
      <c r="R53" s="6">
        <v>1.886797E7</v>
      </c>
      <c r="S53" s="6">
        <v>6.9815986396E8</v>
      </c>
      <c r="T53" s="6">
        <v>1.01422076E9</v>
      </c>
      <c r="U53" s="4">
        <f t="shared" si="3"/>
        <v>0.3116292907</v>
      </c>
      <c r="V53" s="7">
        <v>1.6903679E7</v>
      </c>
      <c r="W53" s="4" t="s">
        <v>47</v>
      </c>
      <c r="X53" s="7">
        <v>188517.0</v>
      </c>
      <c r="Y53" s="6">
        <v>8.451839667E7</v>
      </c>
      <c r="Z53" s="4">
        <v>4.479464228</v>
      </c>
      <c r="AA53" s="4">
        <v>22.32409836</v>
      </c>
      <c r="AB53" s="8">
        <v>0.0034</v>
      </c>
      <c r="AC53" s="4" t="s">
        <v>81</v>
      </c>
      <c r="AD53" s="6">
        <v>65742.06</v>
      </c>
      <c r="AE53" s="6">
        <v>14112.17</v>
      </c>
      <c r="AF53" s="6">
        <v>68588.96</v>
      </c>
      <c r="AG53" s="6">
        <v>16616.31</v>
      </c>
      <c r="AH53" s="4">
        <v>0.9038946246</v>
      </c>
      <c r="AI53" s="4" t="s">
        <v>52</v>
      </c>
      <c r="AJ53" s="4">
        <v>2025.0</v>
      </c>
      <c r="AK53" s="6">
        <v>1.886797E7</v>
      </c>
      <c r="AL53" s="6">
        <v>14112.17</v>
      </c>
      <c r="AM53" s="6">
        <v>25531.22</v>
      </c>
      <c r="AN53" s="8">
        <v>-0.0447</v>
      </c>
      <c r="AO53" s="4">
        <v>19.36</v>
      </c>
      <c r="AP53" s="4">
        <v>0.9038946246</v>
      </c>
    </row>
    <row r="54">
      <c r="A54" s="4">
        <v>75.0</v>
      </c>
      <c r="B54" s="4" t="s">
        <v>215</v>
      </c>
      <c r="C54" s="4" t="s">
        <v>43</v>
      </c>
      <c r="D54" s="4" t="s">
        <v>216</v>
      </c>
      <c r="E54" s="4">
        <v>12.0</v>
      </c>
      <c r="F54" s="4" t="s">
        <v>217</v>
      </c>
      <c r="G54" s="4" t="s">
        <v>218</v>
      </c>
      <c r="H54" s="4">
        <v>-34.445773</v>
      </c>
      <c r="I54" s="4">
        <v>-58.5426716</v>
      </c>
      <c r="J54" s="4">
        <v>253.0</v>
      </c>
      <c r="K54" s="4">
        <v>180.0</v>
      </c>
      <c r="L54" s="4">
        <v>400.0</v>
      </c>
      <c r="M54" s="4">
        <v>250.0</v>
      </c>
      <c r="N54" s="4">
        <v>16100.0</v>
      </c>
      <c r="O54" s="4">
        <v>98.0</v>
      </c>
      <c r="P54" s="4">
        <v>11428.0</v>
      </c>
      <c r="Q54" s="5">
        <v>9.6991641325E8</v>
      </c>
      <c r="R54" s="6">
        <v>1.09355878E8</v>
      </c>
      <c r="S54" s="6">
        <v>1.16791641325E9</v>
      </c>
      <c r="T54" s="6">
        <v>5.158278007E9</v>
      </c>
      <c r="U54" s="4">
        <f t="shared" si="3"/>
        <v>0.7735840504</v>
      </c>
      <c r="V54" s="7">
        <v>5.263549E7</v>
      </c>
      <c r="W54" s="4" t="s">
        <v>47</v>
      </c>
      <c r="X54" s="7">
        <v>451372.0</v>
      </c>
      <c r="Y54" s="6">
        <v>4.298565006E8</v>
      </c>
      <c r="Z54" s="4">
        <v>3.930803798</v>
      </c>
      <c r="AA54" s="4">
        <v>25.44008939</v>
      </c>
      <c r="AB54" s="8">
        <v>0.0383</v>
      </c>
      <c r="AC54" s="4" t="s">
        <v>63</v>
      </c>
      <c r="AD54" s="6">
        <v>432236.67</v>
      </c>
      <c r="AE54" s="6">
        <v>119645.38</v>
      </c>
      <c r="AF54" s="6">
        <v>100296.38</v>
      </c>
      <c r="AG54" s="6">
        <v>28527.03</v>
      </c>
      <c r="AH54" s="4">
        <v>4.251850075</v>
      </c>
      <c r="AI54" s="4" t="s">
        <v>49</v>
      </c>
      <c r="AJ54" s="4">
        <v>2025.0</v>
      </c>
      <c r="AK54" s="6"/>
      <c r="AL54" s="6"/>
      <c r="AM54" s="6"/>
      <c r="AN54" s="8">
        <v>0.0</v>
      </c>
      <c r="AO54" s="4">
        <v>73.39</v>
      </c>
      <c r="AP54" s="4">
        <v>4.251850075</v>
      </c>
    </row>
    <row r="55">
      <c r="A55" s="4">
        <v>64.0</v>
      </c>
      <c r="B55" s="4" t="s">
        <v>219</v>
      </c>
      <c r="C55" s="4" t="s">
        <v>43</v>
      </c>
      <c r="D55" s="4" t="s">
        <v>220</v>
      </c>
      <c r="E55" s="4">
        <v>12.0</v>
      </c>
      <c r="F55" s="4" t="s">
        <v>131</v>
      </c>
      <c r="G55" s="4" t="s">
        <v>124</v>
      </c>
      <c r="H55" s="4">
        <v>-34.5782224</v>
      </c>
      <c r="I55" s="4">
        <v>-58.4376112</v>
      </c>
      <c r="J55" s="4">
        <v>300.0</v>
      </c>
      <c r="K55" s="4">
        <v>200.0</v>
      </c>
      <c r="L55" s="4">
        <v>500.0</v>
      </c>
      <c r="M55" s="4">
        <v>300.0</v>
      </c>
      <c r="N55" s="4">
        <v>993.0</v>
      </c>
      <c r="O55" s="4">
        <v>82.0</v>
      </c>
      <c r="P55" s="4">
        <v>8100.0</v>
      </c>
      <c r="Q55" s="5">
        <v>1.0713798196E9</v>
      </c>
      <c r="R55" s="6">
        <v>7.4005713E7</v>
      </c>
      <c r="S55" s="6">
        <v>1.2977954596E9</v>
      </c>
      <c r="T55" s="6">
        <v>1.904499527E9</v>
      </c>
      <c r="U55" s="4">
        <f t="shared" si="3"/>
        <v>0.318563517</v>
      </c>
      <c r="V55" s="7">
        <v>2.3225604E7</v>
      </c>
      <c r="W55" s="4" t="s">
        <v>47</v>
      </c>
      <c r="X55" s="7">
        <v>235123.0</v>
      </c>
      <c r="Y55" s="6">
        <v>1.731363206E8</v>
      </c>
      <c r="Z55" s="4">
        <v>2.339499393</v>
      </c>
      <c r="AA55" s="4">
        <v>42.7441872</v>
      </c>
      <c r="AB55" s="8">
        <v>-7.0E-4</v>
      </c>
      <c r="AC55" s="4" t="s">
        <v>81</v>
      </c>
      <c r="AD55" s="6">
        <v>246685.71</v>
      </c>
      <c r="AE55" s="6">
        <v>88842.39</v>
      </c>
      <c r="AF55" s="6">
        <v>68588.96</v>
      </c>
      <c r="AG55" s="6">
        <v>16616.31</v>
      </c>
      <c r="AH55" s="4">
        <v>4.471638564</v>
      </c>
      <c r="AI55" s="4" t="s">
        <v>49</v>
      </c>
      <c r="AJ55" s="4">
        <v>2025.0</v>
      </c>
      <c r="AK55" s="6">
        <v>7.4005713E7</v>
      </c>
      <c r="AL55" s="6">
        <v>88842.39</v>
      </c>
      <c r="AM55" s="6">
        <v>25531.22</v>
      </c>
      <c r="AN55" s="8">
        <v>0.248</v>
      </c>
      <c r="AO55" s="4">
        <v>0.0</v>
      </c>
      <c r="AP55" s="4">
        <v>4.471638564</v>
      </c>
    </row>
    <row r="56">
      <c r="A56" s="4">
        <v>46.0</v>
      </c>
      <c r="B56" s="4" t="s">
        <v>221</v>
      </c>
      <c r="C56" s="4" t="s">
        <v>43</v>
      </c>
      <c r="D56" s="4" t="s">
        <v>222</v>
      </c>
      <c r="E56" s="4">
        <v>12.0</v>
      </c>
      <c r="F56" s="4" t="s">
        <v>131</v>
      </c>
      <c r="G56" s="4" t="s">
        <v>124</v>
      </c>
      <c r="H56" s="4">
        <v>-34.5922245</v>
      </c>
      <c r="I56" s="4">
        <v>-58.4304388</v>
      </c>
      <c r="J56" s="4">
        <v>348.0</v>
      </c>
      <c r="K56" s="4">
        <v>180.0</v>
      </c>
      <c r="L56" s="4">
        <v>700.0</v>
      </c>
      <c r="M56" s="4">
        <v>300.0</v>
      </c>
      <c r="N56" s="4">
        <v>1337.0</v>
      </c>
      <c r="O56" s="4">
        <v>100.0</v>
      </c>
      <c r="P56" s="4">
        <v>10693.0</v>
      </c>
      <c r="Q56" s="5">
        <v>8.7050203705E8</v>
      </c>
      <c r="R56" s="6">
        <v>3.0363742E7</v>
      </c>
      <c r="S56" s="6">
        <v>2.18277257305E9</v>
      </c>
      <c r="T56" s="6">
        <v>2.091551955E9</v>
      </c>
      <c r="U56" s="4">
        <f t="shared" si="3"/>
        <v>-0.04361384274</v>
      </c>
      <c r="V56" s="7">
        <v>2.091552E7</v>
      </c>
      <c r="W56" s="4" t="s">
        <v>223</v>
      </c>
      <c r="X56" s="7">
        <v>195600.0</v>
      </c>
      <c r="Y56" s="6">
        <v>1.742959963E8</v>
      </c>
      <c r="Z56" s="4">
        <v>5.740267331</v>
      </c>
      <c r="AA56" s="4">
        <v>17.42079144</v>
      </c>
      <c r="AB56" s="8">
        <v>0.0114</v>
      </c>
      <c r="AC56" s="4" t="s">
        <v>81</v>
      </c>
      <c r="AD56" s="6">
        <v>87252.13</v>
      </c>
      <c r="AE56" s="6">
        <v>39795.21</v>
      </c>
      <c r="AF56" s="6">
        <v>68588.96</v>
      </c>
      <c r="AG56" s="6">
        <v>16616.31</v>
      </c>
      <c r="AH56" s="4">
        <v>1.833524766</v>
      </c>
      <c r="AI56" s="4" t="s">
        <v>49</v>
      </c>
      <c r="AJ56" s="4">
        <v>2025.0</v>
      </c>
      <c r="AK56" s="6">
        <v>3.0363742E7</v>
      </c>
      <c r="AL56" s="6">
        <v>39795.21</v>
      </c>
      <c r="AM56" s="6">
        <v>25531.22</v>
      </c>
      <c r="AN56" s="8">
        <v>0.0559</v>
      </c>
      <c r="AO56" s="4">
        <v>39.52</v>
      </c>
      <c r="AP56" s="4">
        <v>1.833524766</v>
      </c>
    </row>
    <row r="57">
      <c r="A57" s="4">
        <v>91.0</v>
      </c>
      <c r="B57" s="4" t="s">
        <v>224</v>
      </c>
      <c r="C57" s="4" t="s">
        <v>43</v>
      </c>
      <c r="D57" s="4" t="s">
        <v>225</v>
      </c>
      <c r="E57" s="4">
        <v>11.0</v>
      </c>
      <c r="F57" s="4" t="s">
        <v>226</v>
      </c>
      <c r="G57" s="4" t="s">
        <v>227</v>
      </c>
      <c r="H57" s="4">
        <v>-34.6112695</v>
      </c>
      <c r="I57" s="4">
        <v>-58.3696563</v>
      </c>
      <c r="J57" s="4">
        <v>308.0</v>
      </c>
      <c r="K57" s="4">
        <v>180.0</v>
      </c>
      <c r="L57" s="4">
        <v>600.0</v>
      </c>
      <c r="M57" s="4">
        <v>200.0</v>
      </c>
      <c r="N57" s="4">
        <v>914.0</v>
      </c>
      <c r="O57" s="4">
        <v>120.0</v>
      </c>
      <c r="P57" s="4">
        <v>12584.0</v>
      </c>
      <c r="Q57" s="5">
        <v>5.5200926453E8</v>
      </c>
      <c r="R57" s="6">
        <v>2.3421517E7</v>
      </c>
      <c r="S57" s="6">
        <v>1.36607210753E9</v>
      </c>
      <c r="T57" s="6">
        <v>1.810963562E9</v>
      </c>
      <c r="U57" s="4">
        <f t="shared" si="3"/>
        <v>0.2456656024</v>
      </c>
      <c r="V57" s="7">
        <v>1.5091363E7</v>
      </c>
      <c r="W57" s="4" t="s">
        <v>47</v>
      </c>
      <c r="X57" s="7">
        <v>143910.0</v>
      </c>
      <c r="Y57" s="6">
        <v>1.509136302E8</v>
      </c>
      <c r="Z57" s="4">
        <v>6.443375558</v>
      </c>
      <c r="AA57" s="4">
        <v>15.51981552</v>
      </c>
      <c r="AB57" s="8">
        <v>0.013</v>
      </c>
      <c r="AC57" s="4" t="s">
        <v>73</v>
      </c>
      <c r="AD57" s="6">
        <v>76043.89</v>
      </c>
      <c r="AE57" s="6">
        <v>16042.13</v>
      </c>
      <c r="AF57" s="6">
        <v>85028.56</v>
      </c>
      <c r="AG57" s="6">
        <v>34134.85</v>
      </c>
      <c r="AH57" s="4">
        <v>0.6821485243</v>
      </c>
      <c r="AI57" s="4" t="s">
        <v>64</v>
      </c>
      <c r="AJ57" s="4">
        <v>2025.0</v>
      </c>
      <c r="AK57" s="6">
        <v>2.3421517E7</v>
      </c>
      <c r="AL57" s="6">
        <v>16042.13</v>
      </c>
      <c r="AM57" s="6">
        <v>18972.12</v>
      </c>
      <c r="AN57" s="8">
        <v>-0.0154</v>
      </c>
      <c r="AO57" s="4">
        <v>39.34</v>
      </c>
      <c r="AP57" s="4">
        <v>0.6821485243</v>
      </c>
    </row>
    <row r="58">
      <c r="A58" s="4">
        <v>24.0</v>
      </c>
      <c r="B58" s="4" t="s">
        <v>117</v>
      </c>
      <c r="C58" s="4" t="s">
        <v>43</v>
      </c>
      <c r="D58" s="4" t="s">
        <v>228</v>
      </c>
      <c r="E58" s="4">
        <v>12.0</v>
      </c>
      <c r="F58" s="4" t="s">
        <v>116</v>
      </c>
      <c r="G58" s="4" t="s">
        <v>117</v>
      </c>
      <c r="H58" s="4">
        <v>-34.4455425</v>
      </c>
      <c r="I58" s="4">
        <v>-58.8862046</v>
      </c>
      <c r="J58" s="4">
        <v>305.0</v>
      </c>
      <c r="K58" s="4">
        <v>200.0</v>
      </c>
      <c r="L58" s="4">
        <v>500.0</v>
      </c>
      <c r="M58" s="4">
        <v>350.0</v>
      </c>
      <c r="N58" s="4">
        <v>833.0</v>
      </c>
      <c r="O58" s="4">
        <v>89.0</v>
      </c>
      <c r="P58" s="4">
        <v>8702.0</v>
      </c>
      <c r="Q58" s="5">
        <v>7.6199941148E8</v>
      </c>
      <c r="R58" s="6">
        <v>4.9992265E7</v>
      </c>
      <c r="S58" s="6">
        <v>1.12636431548E9</v>
      </c>
      <c r="T58" s="6">
        <v>1.694677937E9</v>
      </c>
      <c r="U58" s="4">
        <f t="shared" si="3"/>
        <v>0.3353519917</v>
      </c>
      <c r="V58" s="7">
        <v>1.9041325E7</v>
      </c>
      <c r="W58" s="4" t="s">
        <v>47</v>
      </c>
      <c r="X58" s="7">
        <v>194746.0</v>
      </c>
      <c r="Y58" s="6">
        <v>1.412231614E8</v>
      </c>
      <c r="Z58" s="4">
        <v>2.82490024</v>
      </c>
      <c r="AA58" s="4">
        <v>35.39948016</v>
      </c>
      <c r="AB58" s="8">
        <v>0.0044</v>
      </c>
      <c r="AC58" s="4" t="s">
        <v>81</v>
      </c>
      <c r="AD58" s="6">
        <v>163909.07</v>
      </c>
      <c r="AE58" s="6">
        <v>76911.18</v>
      </c>
      <c r="AF58" s="6">
        <v>68588.96</v>
      </c>
      <c r="AG58" s="6">
        <v>16616.31</v>
      </c>
      <c r="AH58" s="4">
        <v>3.509192016</v>
      </c>
      <c r="AI58" s="4" t="s">
        <v>49</v>
      </c>
      <c r="AJ58" s="4">
        <v>2025.0</v>
      </c>
      <c r="AK58" s="6">
        <v>4.9992265E7</v>
      </c>
      <c r="AL58" s="6">
        <v>76911.18</v>
      </c>
      <c r="AM58" s="6">
        <v>25531.22</v>
      </c>
      <c r="AN58" s="8">
        <v>0.2012</v>
      </c>
      <c r="AO58" s="4">
        <v>13.05</v>
      </c>
      <c r="AP58" s="4">
        <v>3.509192016</v>
      </c>
    </row>
    <row r="59">
      <c r="A59" s="4">
        <v>67.0</v>
      </c>
      <c r="B59" s="4" t="s">
        <v>229</v>
      </c>
      <c r="C59" s="4" t="s">
        <v>43</v>
      </c>
      <c r="D59" s="4" t="s">
        <v>230</v>
      </c>
      <c r="E59" s="4">
        <v>12.0</v>
      </c>
      <c r="F59" s="4" t="s">
        <v>231</v>
      </c>
      <c r="G59" s="4" t="s">
        <v>117</v>
      </c>
      <c r="H59" s="4">
        <v>-34.407639</v>
      </c>
      <c r="I59" s="4">
        <v>-58.8558502</v>
      </c>
      <c r="J59" s="4">
        <v>258.0</v>
      </c>
      <c r="K59" s="4">
        <v>180.0</v>
      </c>
      <c r="L59" s="4">
        <v>400.0</v>
      </c>
      <c r="M59" s="4">
        <v>300.0</v>
      </c>
      <c r="N59" s="4">
        <v>763.0</v>
      </c>
      <c r="O59" s="4">
        <v>112.0</v>
      </c>
      <c r="P59" s="4">
        <v>10202.0</v>
      </c>
      <c r="Q59" s="5">
        <v>7.3714441628E8</v>
      </c>
      <c r="R59" s="6">
        <v>2.10397E7</v>
      </c>
      <c r="S59" s="6">
        <v>1.01820262028E9</v>
      </c>
      <c r="T59" s="6">
        <v>1.48708291E9</v>
      </c>
      <c r="U59" s="4">
        <f t="shared" si="3"/>
        <v>0.3153020498</v>
      </c>
      <c r="V59" s="7">
        <v>1.3277526E7</v>
      </c>
      <c r="W59" s="4" t="s">
        <v>47</v>
      </c>
      <c r="X59" s="7">
        <v>145764.0</v>
      </c>
      <c r="Y59" s="6">
        <v>1.239235758E8</v>
      </c>
      <c r="Z59" s="4">
        <v>5.889987777</v>
      </c>
      <c r="AA59" s="4">
        <v>16.97796393</v>
      </c>
      <c r="AB59" s="8">
        <v>0.0066</v>
      </c>
      <c r="AC59" s="4" t="s">
        <v>81</v>
      </c>
      <c r="AD59" s="6">
        <v>81549.22</v>
      </c>
      <c r="AE59" s="6">
        <v>27574.97</v>
      </c>
      <c r="AF59" s="6">
        <v>68588.96</v>
      </c>
      <c r="AG59" s="6">
        <v>16616.31</v>
      </c>
      <c r="AH59" s="4">
        <v>1.424233608</v>
      </c>
      <c r="AI59" s="4" t="s">
        <v>49</v>
      </c>
      <c r="AJ59" s="4">
        <v>2025.0</v>
      </c>
      <c r="AK59" s="6">
        <v>2.10397E7</v>
      </c>
      <c r="AL59" s="6">
        <v>27574.97</v>
      </c>
      <c r="AM59" s="6">
        <v>25531.22</v>
      </c>
      <c r="AN59" s="8">
        <v>0.008</v>
      </c>
      <c r="AO59" s="4">
        <v>27.14</v>
      </c>
      <c r="AP59" s="4">
        <v>1.424233608</v>
      </c>
    </row>
    <row r="60">
      <c r="A60" s="4">
        <v>113.0</v>
      </c>
      <c r="B60" s="4" t="s">
        <v>232</v>
      </c>
      <c r="C60" s="4" t="s">
        <v>43</v>
      </c>
      <c r="D60" s="4" t="s">
        <v>233</v>
      </c>
      <c r="E60" s="4">
        <v>12.0</v>
      </c>
      <c r="F60" s="4" t="s">
        <v>234</v>
      </c>
      <c r="G60" s="4" t="s">
        <v>235</v>
      </c>
      <c r="H60" s="4">
        <v>-34.4328447</v>
      </c>
      <c r="I60" s="4">
        <v>-58.9901722</v>
      </c>
      <c r="J60" s="4">
        <v>270.0</v>
      </c>
      <c r="K60" s="4">
        <v>200.0</v>
      </c>
      <c r="L60" s="4">
        <v>400.0</v>
      </c>
      <c r="M60" s="4">
        <v>300.0</v>
      </c>
      <c r="N60" s="4">
        <v>1460.0</v>
      </c>
      <c r="O60" s="4">
        <v>85.0</v>
      </c>
      <c r="P60" s="4">
        <v>8265.0</v>
      </c>
      <c r="Q60" s="5">
        <v>9.105858094E7</v>
      </c>
      <c r="R60" s="6">
        <v>1.9625E7</v>
      </c>
      <c r="S60" s="6">
        <v>6.9096576094E8</v>
      </c>
      <c r="T60" s="6">
        <v>1.357440298E9</v>
      </c>
      <c r="U60" s="4">
        <f t="shared" si="3"/>
        <v>0.4909788946</v>
      </c>
      <c r="V60" s="7">
        <v>1.5969886E7</v>
      </c>
      <c r="W60" s="4" t="s">
        <v>47</v>
      </c>
      <c r="X60" s="7">
        <v>164240.0</v>
      </c>
      <c r="Y60" s="6">
        <v>1.357440298E8</v>
      </c>
      <c r="Z60" s="4">
        <v>6.916893238</v>
      </c>
      <c r="AA60" s="4">
        <v>14.45735774</v>
      </c>
      <c r="AB60" s="8">
        <v>0.0137</v>
      </c>
      <c r="AC60" s="4" t="s">
        <v>81</v>
      </c>
      <c r="AD60" s="6">
        <v>72685.19</v>
      </c>
      <c r="AE60" s="6">
        <v>34429.82</v>
      </c>
      <c r="AF60" s="6">
        <v>68588.96</v>
      </c>
      <c r="AG60" s="6">
        <v>16616.31</v>
      </c>
      <c r="AH60" s="4">
        <v>1.565885395</v>
      </c>
      <c r="AI60" s="4" t="s">
        <v>49</v>
      </c>
      <c r="AJ60" s="4">
        <v>2025.0</v>
      </c>
      <c r="AK60" s="6">
        <v>1.9625E7</v>
      </c>
      <c r="AL60" s="6">
        <v>34429.82</v>
      </c>
      <c r="AM60" s="6">
        <v>25531.22</v>
      </c>
      <c r="AN60" s="8">
        <v>0.0349</v>
      </c>
      <c r="AO60" s="4">
        <v>42.71</v>
      </c>
      <c r="AP60" s="4">
        <v>1.565885395</v>
      </c>
    </row>
    <row r="61">
      <c r="A61" s="4">
        <v>51.0</v>
      </c>
      <c r="B61" s="4" t="s">
        <v>236</v>
      </c>
      <c r="C61" s="4" t="s">
        <v>43</v>
      </c>
      <c r="D61" s="4" t="s">
        <v>237</v>
      </c>
      <c r="E61" s="4">
        <v>12.0</v>
      </c>
      <c r="F61" s="4" t="s">
        <v>238</v>
      </c>
      <c r="G61" s="4" t="s">
        <v>190</v>
      </c>
      <c r="H61" s="4">
        <v>-38.0261389</v>
      </c>
      <c r="I61" s="4">
        <v>-57.5303659</v>
      </c>
      <c r="J61" s="4">
        <v>406.0</v>
      </c>
      <c r="K61" s="4">
        <v>260.0</v>
      </c>
      <c r="L61" s="4">
        <v>700.0</v>
      </c>
      <c r="M61" s="4">
        <v>400.0</v>
      </c>
      <c r="N61" s="4">
        <v>650.0</v>
      </c>
      <c r="O61" s="4">
        <v>140.0</v>
      </c>
      <c r="P61" s="4">
        <v>16183.0</v>
      </c>
      <c r="Q61" s="5">
        <v>9.1721469783E8</v>
      </c>
      <c r="R61" s="6">
        <v>3.660711E7</v>
      </c>
      <c r="S61" s="6">
        <v>1.16969109783E9</v>
      </c>
      <c r="T61" s="6">
        <v>2.854423369E9</v>
      </c>
      <c r="U61" s="4">
        <f t="shared" si="3"/>
        <v>0.5902180768</v>
      </c>
      <c r="V61" s="7">
        <v>2.0388738E7</v>
      </c>
      <c r="W61" s="4" t="s">
        <v>57</v>
      </c>
      <c r="X61" s="7">
        <v>176384.0</v>
      </c>
      <c r="Y61" s="6">
        <v>2.378686141E8</v>
      </c>
      <c r="Z61" s="4">
        <v>6.497880168</v>
      </c>
      <c r="AA61" s="4">
        <v>15.38963437</v>
      </c>
      <c r="AB61" s="8">
        <v>0.02</v>
      </c>
      <c r="AC61" s="4" t="s">
        <v>48</v>
      </c>
      <c r="AD61" s="6">
        <v>90165.3</v>
      </c>
      <c r="AE61" s="6">
        <v>40183.44</v>
      </c>
      <c r="AF61" s="6">
        <v>66382.4</v>
      </c>
      <c r="AG61" s="6">
        <v>14642.27</v>
      </c>
      <c r="AH61" s="4">
        <v>2.051308215</v>
      </c>
      <c r="AI61" s="4" t="s">
        <v>49</v>
      </c>
      <c r="AJ61" s="4">
        <v>2025.0</v>
      </c>
      <c r="AK61" s="6">
        <v>3.660711E7</v>
      </c>
      <c r="AL61" s="6">
        <v>40183.44</v>
      </c>
      <c r="AM61" s="6">
        <v>5028.66</v>
      </c>
      <c r="AN61" s="8">
        <v>0.6991</v>
      </c>
      <c r="AO61" s="4">
        <v>53.6</v>
      </c>
      <c r="AP61" s="4">
        <v>2.051308215</v>
      </c>
    </row>
    <row r="62">
      <c r="A62" s="4">
        <v>23.0</v>
      </c>
      <c r="B62" s="4" t="s">
        <v>239</v>
      </c>
      <c r="C62" s="4" t="s">
        <v>43</v>
      </c>
      <c r="D62" s="4" t="s">
        <v>240</v>
      </c>
      <c r="E62" s="4">
        <v>10.0</v>
      </c>
      <c r="F62" s="4" t="s">
        <v>241</v>
      </c>
      <c r="G62" s="4" t="s">
        <v>239</v>
      </c>
      <c r="H62" s="4">
        <v>-34.6098123</v>
      </c>
      <c r="I62" s="4">
        <v>-58.3637716</v>
      </c>
      <c r="J62" s="4">
        <v>197.0</v>
      </c>
      <c r="K62" s="4">
        <v>120.0</v>
      </c>
      <c r="L62" s="4">
        <v>350.0</v>
      </c>
      <c r="M62" s="4">
        <v>200.0</v>
      </c>
      <c r="N62" s="4">
        <v>570.0</v>
      </c>
      <c r="O62" s="4">
        <v>99.0</v>
      </c>
      <c r="P62" s="4">
        <v>9228.0</v>
      </c>
      <c r="Q62" s="5">
        <v>8.0726335083E8</v>
      </c>
      <c r="R62" s="6">
        <v>6.140638E7</v>
      </c>
      <c r="S62" s="6">
        <v>1.00351335083E9</v>
      </c>
      <c r="T62" s="6">
        <v>1.697707294E9</v>
      </c>
      <c r="U62" s="4">
        <f t="shared" si="3"/>
        <v>0.4089008427</v>
      </c>
      <c r="V62" s="7">
        <v>1.7148559E7</v>
      </c>
      <c r="W62" s="4" t="s">
        <v>47</v>
      </c>
      <c r="X62" s="7">
        <v>183973.0</v>
      </c>
      <c r="Y62" s="6">
        <v>1.414756078E8</v>
      </c>
      <c r="Z62" s="4">
        <v>2.303923596</v>
      </c>
      <c r="AA62" s="4">
        <v>43.40421712</v>
      </c>
      <c r="AB62" s="8">
        <v>0.002</v>
      </c>
      <c r="AC62" s="4" t="s">
        <v>63</v>
      </c>
      <c r="AD62" s="6">
        <v>311707.51</v>
      </c>
      <c r="AE62" s="6">
        <v>107730.49</v>
      </c>
      <c r="AF62" s="6">
        <v>100296.38</v>
      </c>
      <c r="AG62" s="6">
        <v>28527.03</v>
      </c>
      <c r="AH62" s="4">
        <v>3.442149998</v>
      </c>
      <c r="AI62" s="4" t="s">
        <v>49</v>
      </c>
      <c r="AJ62" s="4">
        <v>2025.0</v>
      </c>
      <c r="AK62" s="6"/>
      <c r="AL62" s="6"/>
      <c r="AM62" s="6"/>
      <c r="AN62" s="8">
        <v>0.0</v>
      </c>
      <c r="AO62" s="4">
        <v>8.08</v>
      </c>
      <c r="AP62" s="4">
        <v>3.442149998</v>
      </c>
    </row>
    <row r="63">
      <c r="A63" s="4">
        <v>95.0</v>
      </c>
      <c r="B63" s="4" t="s">
        <v>242</v>
      </c>
      <c r="C63" s="4" t="s">
        <v>43</v>
      </c>
      <c r="D63" s="4" t="s">
        <v>243</v>
      </c>
      <c r="E63" s="4">
        <v>12.0</v>
      </c>
      <c r="F63" s="4" t="s">
        <v>241</v>
      </c>
      <c r="G63" s="4" t="s">
        <v>239</v>
      </c>
      <c r="H63" s="4">
        <v>-34.6146794</v>
      </c>
      <c r="I63" s="4">
        <v>-58.3580145</v>
      </c>
      <c r="J63" s="4">
        <v>147.0</v>
      </c>
      <c r="K63" s="4">
        <v>100.0</v>
      </c>
      <c r="L63" s="4">
        <v>250.0</v>
      </c>
      <c r="M63" s="4">
        <v>120.0</v>
      </c>
      <c r="N63" s="4">
        <v>911.0</v>
      </c>
      <c r="O63" s="4">
        <v>112.0</v>
      </c>
      <c r="P63" s="4">
        <v>10343.0</v>
      </c>
      <c r="Q63" s="5">
        <v>5.5484176698E8</v>
      </c>
      <c r="R63" s="6">
        <v>2.205E7</v>
      </c>
      <c r="S63" s="6">
        <v>9.9412708698E8</v>
      </c>
      <c r="T63" s="6">
        <v>1.848258752E9</v>
      </c>
      <c r="U63" s="4">
        <f t="shared" si="3"/>
        <v>0.4621277535</v>
      </c>
      <c r="V63" s="7">
        <v>1.650231E7</v>
      </c>
      <c r="W63" s="4" t="s">
        <v>47</v>
      </c>
      <c r="X63" s="7">
        <v>178697.0</v>
      </c>
      <c r="Y63" s="6">
        <v>1.540215627E8</v>
      </c>
      <c r="Z63" s="4">
        <v>6.985104883</v>
      </c>
      <c r="AA63" s="4">
        <v>14.31617731</v>
      </c>
      <c r="AB63" s="8">
        <v>0.0137</v>
      </c>
      <c r="AC63" s="4" t="s">
        <v>63</v>
      </c>
      <c r="AD63" s="6">
        <v>150000.0</v>
      </c>
      <c r="AE63" s="6">
        <v>43836.98</v>
      </c>
      <c r="AF63" s="6">
        <v>100296.38</v>
      </c>
      <c r="AG63" s="6">
        <v>28527.03</v>
      </c>
      <c r="AH63" s="4">
        <v>1.51612488</v>
      </c>
      <c r="AI63" s="4" t="s">
        <v>49</v>
      </c>
      <c r="AJ63" s="4">
        <v>2025.0</v>
      </c>
      <c r="AK63" s="6"/>
      <c r="AL63" s="6"/>
      <c r="AM63" s="6"/>
      <c r="AN63" s="8">
        <v>0.0</v>
      </c>
      <c r="AO63" s="4">
        <v>43.73</v>
      </c>
      <c r="AP63" s="4">
        <v>1.51612488</v>
      </c>
    </row>
    <row r="64">
      <c r="A64" s="4">
        <v>86.0</v>
      </c>
      <c r="B64" s="4" t="s">
        <v>244</v>
      </c>
      <c r="C64" s="4" t="s">
        <v>43</v>
      </c>
      <c r="D64" s="4" t="s">
        <v>245</v>
      </c>
      <c r="E64" s="4">
        <v>12.0</v>
      </c>
      <c r="F64" s="4" t="s">
        <v>246</v>
      </c>
      <c r="G64" s="4" t="s">
        <v>247</v>
      </c>
      <c r="H64" s="4">
        <v>-34.7327696</v>
      </c>
      <c r="I64" s="4">
        <v>-58.2640226</v>
      </c>
      <c r="J64" s="4">
        <v>144.0</v>
      </c>
      <c r="K64" s="4">
        <v>120.0</v>
      </c>
      <c r="L64" s="4">
        <v>200.0</v>
      </c>
      <c r="M64" s="4">
        <v>120.0</v>
      </c>
      <c r="N64" s="4">
        <v>941.0</v>
      </c>
      <c r="O64" s="4">
        <v>94.0</v>
      </c>
      <c r="P64" s="4">
        <v>8705.0</v>
      </c>
      <c r="Q64" s="5">
        <v>3.909013942E8</v>
      </c>
      <c r="R64" s="6">
        <v>1.5012345E7</v>
      </c>
      <c r="S64" s="6">
        <v>1.1277779542E9</v>
      </c>
      <c r="T64" s="6">
        <v>1.248733484E9</v>
      </c>
      <c r="U64" s="4">
        <f t="shared" si="3"/>
        <v>0.09686256623</v>
      </c>
      <c r="V64" s="7">
        <v>1.3284399E7</v>
      </c>
      <c r="W64" s="4" t="s">
        <v>47</v>
      </c>
      <c r="X64" s="7">
        <v>143450.0</v>
      </c>
      <c r="Y64" s="6">
        <v>1.040611237E8</v>
      </c>
      <c r="Z64" s="4">
        <v>6.931703453</v>
      </c>
      <c r="AA64" s="4">
        <v>14.42646828</v>
      </c>
      <c r="AB64" s="8">
        <v>0.009</v>
      </c>
      <c r="AC64" s="4" t="s">
        <v>48</v>
      </c>
      <c r="AD64" s="6">
        <v>104252.4</v>
      </c>
      <c r="AE64" s="6">
        <v>20564.86</v>
      </c>
      <c r="AF64" s="6">
        <v>66382.4</v>
      </c>
      <c r="AG64" s="6">
        <v>14642.27</v>
      </c>
      <c r="AH64" s="4">
        <v>1.48748414</v>
      </c>
      <c r="AI64" s="4" t="s">
        <v>49</v>
      </c>
      <c r="AJ64" s="4">
        <v>2025.0</v>
      </c>
      <c r="AK64" s="6">
        <v>1.5012345E7</v>
      </c>
      <c r="AL64" s="6">
        <v>20564.86</v>
      </c>
      <c r="AM64" s="6">
        <v>5028.66</v>
      </c>
      <c r="AN64" s="8">
        <v>0.309</v>
      </c>
      <c r="AO64" s="4">
        <v>33.78</v>
      </c>
      <c r="AP64" s="4">
        <v>1.48748414</v>
      </c>
    </row>
    <row r="65">
      <c r="A65" s="4">
        <v>63.0</v>
      </c>
      <c r="B65" s="4" t="s">
        <v>248</v>
      </c>
      <c r="C65" s="4" t="s">
        <v>43</v>
      </c>
      <c r="D65" s="4" t="s">
        <v>249</v>
      </c>
      <c r="E65" s="4">
        <v>12.0</v>
      </c>
      <c r="F65" s="4" t="s">
        <v>250</v>
      </c>
      <c r="G65" s="4" t="s">
        <v>251</v>
      </c>
      <c r="H65" s="4">
        <v>-34.6461685</v>
      </c>
      <c r="I65" s="4">
        <v>-58.5689948</v>
      </c>
      <c r="J65" s="4">
        <v>160.0</v>
      </c>
      <c r="K65" s="4">
        <v>150.0</v>
      </c>
      <c r="L65" s="4">
        <v>200.0</v>
      </c>
      <c r="M65" s="4">
        <v>100.0</v>
      </c>
      <c r="N65" s="4">
        <v>503.0</v>
      </c>
      <c r="O65" s="4">
        <v>65.0</v>
      </c>
      <c r="P65" s="4">
        <v>5790.0</v>
      </c>
      <c r="Q65" s="5">
        <v>6.2055545816E8</v>
      </c>
      <c r="R65" s="6">
        <v>1.289786E7</v>
      </c>
      <c r="S65" s="6">
        <v>8.8515545816E8</v>
      </c>
      <c r="T65" s="6">
        <v>8.77180781E8</v>
      </c>
      <c r="U65" s="4">
        <f t="shared" si="3"/>
        <v>-0.009091258419</v>
      </c>
      <c r="V65" s="7">
        <v>1.3495089E7</v>
      </c>
      <c r="W65" s="4" t="s">
        <v>47</v>
      </c>
      <c r="X65" s="7">
        <v>151499.0</v>
      </c>
      <c r="Y65" s="6">
        <v>9.746453122E7</v>
      </c>
      <c r="Z65" s="4">
        <v>7.5566436</v>
      </c>
      <c r="AA65" s="4">
        <v>13.23338843</v>
      </c>
      <c r="AB65" s="8">
        <v>0.0014</v>
      </c>
      <c r="AC65" s="4" t="s">
        <v>58</v>
      </c>
      <c r="AD65" s="6">
        <v>80611.63</v>
      </c>
      <c r="AE65" s="6">
        <v>85985.73</v>
      </c>
      <c r="AF65" s="6">
        <v>72808.9</v>
      </c>
      <c r="AG65" s="6">
        <v>16888.33</v>
      </c>
      <c r="AH65" s="4">
        <v>3.099298811</v>
      </c>
      <c r="AI65" s="4" t="s">
        <v>49</v>
      </c>
      <c r="AJ65" s="4">
        <v>2025.0</v>
      </c>
      <c r="AK65" s="6">
        <v>1.289786E7</v>
      </c>
      <c r="AL65" s="6">
        <v>25641.87</v>
      </c>
      <c r="AM65" s="6">
        <v>8990.33</v>
      </c>
      <c r="AN65" s="8">
        <v>0.1852</v>
      </c>
      <c r="AO65" s="4">
        <v>23.95</v>
      </c>
      <c r="AP65" s="4">
        <v>3.099298811</v>
      </c>
    </row>
    <row r="66">
      <c r="A66" s="4">
        <v>92.0</v>
      </c>
      <c r="B66" s="4" t="s">
        <v>252</v>
      </c>
      <c r="C66" s="4" t="s">
        <v>43</v>
      </c>
      <c r="D66" s="4" t="s">
        <v>253</v>
      </c>
      <c r="E66" s="4">
        <v>12.0</v>
      </c>
      <c r="F66" s="4" t="s">
        <v>250</v>
      </c>
      <c r="G66" s="4" t="s">
        <v>251</v>
      </c>
      <c r="H66" s="4">
        <v>-34.6485572</v>
      </c>
      <c r="I66" s="4">
        <v>-58.5695288</v>
      </c>
      <c r="J66" s="4">
        <v>180.0</v>
      </c>
      <c r="K66" s="4">
        <v>150.0</v>
      </c>
      <c r="L66" s="4">
        <v>240.0</v>
      </c>
      <c r="M66" s="4">
        <v>180.0</v>
      </c>
      <c r="N66" s="4">
        <v>730.0</v>
      </c>
      <c r="O66" s="4">
        <v>109.0</v>
      </c>
      <c r="P66" s="4">
        <v>9906.0</v>
      </c>
      <c r="Q66" s="5">
        <v>5.4728280223E8</v>
      </c>
      <c r="R66" s="6">
        <v>1.3296655E7</v>
      </c>
      <c r="S66" s="6">
        <v>7.2743094223E8</v>
      </c>
      <c r="T66" s="6">
        <v>1.663782132E9</v>
      </c>
      <c r="U66" s="4">
        <f t="shared" si="3"/>
        <v>0.5627847371</v>
      </c>
      <c r="V66" s="7">
        <v>1.5264056E7</v>
      </c>
      <c r="W66" s="4" t="s">
        <v>57</v>
      </c>
      <c r="X66" s="7">
        <v>167957.0</v>
      </c>
      <c r="Y66" s="6">
        <v>1.38648511E8</v>
      </c>
      <c r="Z66" s="4">
        <v>10.42732259</v>
      </c>
      <c r="AA66" s="4">
        <v>9.590189541</v>
      </c>
      <c r="AB66" s="8">
        <v>0.0127</v>
      </c>
      <c r="AC66" s="4" t="s">
        <v>58</v>
      </c>
      <c r="AD66" s="6">
        <v>73870.31</v>
      </c>
      <c r="AE66" s="6">
        <v>5123.95</v>
      </c>
      <c r="AF66" s="6">
        <v>72808.9</v>
      </c>
      <c r="AG66" s="6">
        <v>16888.33</v>
      </c>
      <c r="AH66" s="4">
        <v>0.6589899555</v>
      </c>
      <c r="AI66" s="4" t="s">
        <v>64</v>
      </c>
      <c r="AJ66" s="4">
        <v>2025.0</v>
      </c>
      <c r="AK66" s="6">
        <v>1.3296655E7</v>
      </c>
      <c r="AL66" s="6">
        <v>5123.95</v>
      </c>
      <c r="AM66" s="6">
        <v>8990.33</v>
      </c>
      <c r="AN66" s="8">
        <v>-0.043</v>
      </c>
      <c r="AO66" s="4">
        <v>46.89</v>
      </c>
      <c r="AP66" s="4">
        <v>0.6589899555</v>
      </c>
    </row>
    <row r="67">
      <c r="A67" s="4">
        <v>27.0</v>
      </c>
      <c r="B67" s="4" t="s">
        <v>254</v>
      </c>
      <c r="C67" s="4" t="s">
        <v>43</v>
      </c>
      <c r="D67" s="4" t="s">
        <v>255</v>
      </c>
      <c r="E67" s="4">
        <v>9.0</v>
      </c>
      <c r="F67" s="4" t="s">
        <v>250</v>
      </c>
      <c r="G67" s="4" t="s">
        <v>251</v>
      </c>
      <c r="H67" s="4">
        <v>-34.6595691</v>
      </c>
      <c r="I67" s="4">
        <v>-58.5618369</v>
      </c>
      <c r="J67" s="4">
        <v>232.0</v>
      </c>
      <c r="K67" s="4">
        <v>170.0</v>
      </c>
      <c r="L67" s="4">
        <v>350.0</v>
      </c>
      <c r="M67" s="4">
        <v>250.0</v>
      </c>
      <c r="N67" s="4">
        <v>270.0</v>
      </c>
      <c r="O67" s="4">
        <v>91.0</v>
      </c>
      <c r="P67" s="4">
        <v>8658.0</v>
      </c>
      <c r="Q67" s="5">
        <v>7.0083708322E8</v>
      </c>
      <c r="R67" s="6">
        <v>1.1761045E7</v>
      </c>
      <c r="S67" s="6">
        <v>8.1691782322E8</v>
      </c>
      <c r="T67" s="6">
        <v>1.462283647E9</v>
      </c>
      <c r="U67" s="4">
        <f t="shared" si="3"/>
        <v>0.4413410661</v>
      </c>
      <c r="V67" s="7">
        <v>1.6069051E7</v>
      </c>
      <c r="W67" s="4" t="s">
        <v>57</v>
      </c>
      <c r="X67" s="7">
        <v>168894.0</v>
      </c>
      <c r="Y67" s="6">
        <v>1.218569706E8</v>
      </c>
      <c r="Z67" s="4">
        <v>10.3610666</v>
      </c>
      <c r="AA67" s="4">
        <v>9.651515989</v>
      </c>
      <c r="AB67" s="8">
        <v>0.0083</v>
      </c>
      <c r="AC67" s="4" t="s">
        <v>58</v>
      </c>
      <c r="AD67" s="6">
        <v>50694.16</v>
      </c>
      <c r="AE67" s="6">
        <v>10566.98</v>
      </c>
      <c r="AF67" s="6">
        <v>72808.9</v>
      </c>
      <c r="AG67" s="6">
        <v>16888.33</v>
      </c>
      <c r="AH67" s="4">
        <v>0.660980158</v>
      </c>
      <c r="AI67" s="4" t="s">
        <v>64</v>
      </c>
      <c r="AJ67" s="4">
        <v>2025.0</v>
      </c>
      <c r="AK67" s="6">
        <v>1.1761045E7</v>
      </c>
      <c r="AL67" s="6">
        <v>10566.98</v>
      </c>
      <c r="AM67" s="6">
        <v>8990.33</v>
      </c>
      <c r="AN67" s="8">
        <v>0.0175</v>
      </c>
      <c r="AO67" s="4">
        <v>40.58</v>
      </c>
      <c r="AP67" s="4">
        <v>0.660980158</v>
      </c>
    </row>
    <row r="68">
      <c r="A68" s="4">
        <v>29.0</v>
      </c>
      <c r="B68" s="4" t="s">
        <v>256</v>
      </c>
      <c r="C68" s="4" t="s">
        <v>43</v>
      </c>
      <c r="D68" s="4" t="s">
        <v>253</v>
      </c>
      <c r="E68" s="4">
        <v>12.0</v>
      </c>
      <c r="F68" s="4" t="s">
        <v>250</v>
      </c>
      <c r="G68" s="4" t="s">
        <v>251</v>
      </c>
      <c r="H68" s="4">
        <v>-34.6486183</v>
      </c>
      <c r="I68" s="4">
        <v>-58.5695585</v>
      </c>
      <c r="J68" s="4">
        <v>162.0</v>
      </c>
      <c r="K68" s="4">
        <v>120.0</v>
      </c>
      <c r="L68" s="4">
        <v>250.0</v>
      </c>
      <c r="M68" s="4">
        <v>150.0</v>
      </c>
      <c r="N68" s="4">
        <v>150.0</v>
      </c>
      <c r="O68" s="4">
        <v>57.0</v>
      </c>
      <c r="P68" s="4">
        <v>5070.0</v>
      </c>
      <c r="Q68" s="5">
        <v>6.2861392671E8</v>
      </c>
      <c r="R68" s="6">
        <v>1.1761045E7</v>
      </c>
      <c r="S68" s="6">
        <v>7.8817378671E8</v>
      </c>
      <c r="T68" s="6">
        <v>6.94137097E8</v>
      </c>
      <c r="U68" s="4">
        <f t="shared" si="3"/>
        <v>-0.1354727908</v>
      </c>
      <c r="V68" s="7">
        <v>1.2177844E7</v>
      </c>
      <c r="W68" s="4" t="s">
        <v>47</v>
      </c>
      <c r="X68" s="7">
        <v>136911.0</v>
      </c>
      <c r="Y68" s="6">
        <v>5.784475808E7</v>
      </c>
      <c r="Z68" s="4">
        <v>4.9183349</v>
      </c>
      <c r="AA68" s="4">
        <v>20.33208434</v>
      </c>
      <c r="AB68" s="8">
        <v>-0.001</v>
      </c>
      <c r="AC68" s="4" t="s">
        <v>58</v>
      </c>
      <c r="AD68" s="6">
        <v>72599.04</v>
      </c>
      <c r="AE68" s="6">
        <v>23759.69</v>
      </c>
      <c r="AF68" s="6">
        <v>72808.9</v>
      </c>
      <c r="AG68" s="6">
        <v>16888.33</v>
      </c>
      <c r="AH68" s="4">
        <v>1.201994086</v>
      </c>
      <c r="AI68" s="4" t="s">
        <v>52</v>
      </c>
      <c r="AJ68" s="4">
        <v>2025.0</v>
      </c>
      <c r="AK68" s="6">
        <v>1.1761045E7</v>
      </c>
      <c r="AL68" s="6">
        <v>78406.97</v>
      </c>
      <c r="AM68" s="6">
        <v>8990.33</v>
      </c>
      <c r="AN68" s="8">
        <v>0.7721</v>
      </c>
      <c r="AO68" s="4">
        <v>0.0</v>
      </c>
      <c r="AP68" s="4">
        <v>1.201994086</v>
      </c>
    </row>
    <row r="69">
      <c r="A69" s="4">
        <v>40.0</v>
      </c>
      <c r="B69" s="4" t="s">
        <v>257</v>
      </c>
      <c r="C69" s="4" t="s">
        <v>43</v>
      </c>
      <c r="D69" s="4" t="s">
        <v>258</v>
      </c>
      <c r="E69" s="4">
        <v>12.0</v>
      </c>
      <c r="F69" s="4" t="s">
        <v>259</v>
      </c>
      <c r="G69" s="4" t="s">
        <v>257</v>
      </c>
      <c r="H69" s="4">
        <v>-34.4804081</v>
      </c>
      <c r="I69" s="4">
        <v>-58.5204941</v>
      </c>
      <c r="J69" s="4">
        <v>325.0</v>
      </c>
      <c r="K69" s="4">
        <v>200.0</v>
      </c>
      <c r="L69" s="4">
        <v>600.0</v>
      </c>
      <c r="M69" s="4">
        <v>250.0</v>
      </c>
      <c r="N69" s="4">
        <v>1113.0</v>
      </c>
      <c r="O69" s="4">
        <v>128.0</v>
      </c>
      <c r="P69" s="4">
        <v>12934.0</v>
      </c>
      <c r="Q69" s="5">
        <v>9.4916383551E8</v>
      </c>
      <c r="R69" s="6">
        <v>2.2291412E7</v>
      </c>
      <c r="S69" s="6">
        <v>1.09029637551E9</v>
      </c>
      <c r="T69" s="6">
        <v>2.885750628E9</v>
      </c>
      <c r="U69" s="4">
        <f t="shared" si="3"/>
        <v>0.6221792816</v>
      </c>
      <c r="V69" s="7">
        <v>2.2544927E7</v>
      </c>
      <c r="W69" s="4" t="s">
        <v>47</v>
      </c>
      <c r="X69" s="7">
        <v>223114.0</v>
      </c>
      <c r="Y69" s="6">
        <v>2.40479219E8</v>
      </c>
      <c r="Z69" s="4">
        <v>10.78797606</v>
      </c>
      <c r="AA69" s="4">
        <v>9.269579339</v>
      </c>
      <c r="AB69" s="8">
        <v>0.0222</v>
      </c>
      <c r="AC69" s="4" t="s">
        <v>81</v>
      </c>
      <c r="AD69" s="6">
        <v>68588.96</v>
      </c>
      <c r="AE69" s="6">
        <v>9184.76</v>
      </c>
      <c r="AF69" s="6">
        <v>68588.96</v>
      </c>
      <c r="AG69" s="6">
        <v>16616.31</v>
      </c>
      <c r="AH69" s="4">
        <v>0.7763777717</v>
      </c>
      <c r="AI69" s="4" t="s">
        <v>64</v>
      </c>
      <c r="AJ69" s="4">
        <v>2025.0</v>
      </c>
      <c r="AK69" s="6">
        <v>2.2291412E7</v>
      </c>
      <c r="AL69" s="6">
        <v>9184.76</v>
      </c>
      <c r="AM69" s="6">
        <v>25531.22</v>
      </c>
      <c r="AN69" s="8">
        <v>-0.064</v>
      </c>
      <c r="AO69" s="4">
        <v>67.42</v>
      </c>
      <c r="AP69" s="4">
        <v>0.7763777717</v>
      </c>
    </row>
    <row r="70">
      <c r="A70" s="4">
        <v>65.0</v>
      </c>
      <c r="B70" s="4" t="s">
        <v>260</v>
      </c>
      <c r="C70" s="4" t="s">
        <v>43</v>
      </c>
      <c r="D70" s="4" t="s">
        <v>261</v>
      </c>
      <c r="E70" s="4">
        <v>12.0</v>
      </c>
      <c r="F70" s="4" t="s">
        <v>262</v>
      </c>
      <c r="G70" s="4" t="s">
        <v>263</v>
      </c>
      <c r="H70" s="4">
        <v>-34.6764448</v>
      </c>
      <c r="I70" s="4">
        <v>-58.5878834</v>
      </c>
      <c r="J70" s="4">
        <v>255.0</v>
      </c>
      <c r="K70" s="4">
        <v>200.0</v>
      </c>
      <c r="L70" s="4">
        <v>350.0</v>
      </c>
      <c r="M70" s="4">
        <v>300.0</v>
      </c>
      <c r="N70" s="4">
        <v>495.0</v>
      </c>
      <c r="O70" s="4">
        <v>147.0</v>
      </c>
      <c r="P70" s="4">
        <v>14187.0</v>
      </c>
      <c r="Q70" s="5">
        <v>1.10319338084E9</v>
      </c>
      <c r="R70" s="6">
        <v>1.6904842E7</v>
      </c>
      <c r="S70" s="6">
        <v>1.24432592084E9</v>
      </c>
      <c r="T70" s="6">
        <v>2.727903321E9</v>
      </c>
      <c r="U70" s="4">
        <f t="shared" si="3"/>
        <v>0.5438526317</v>
      </c>
      <c r="V70" s="7">
        <v>1.8557165E7</v>
      </c>
      <c r="W70" s="4" t="s">
        <v>57</v>
      </c>
      <c r="X70" s="7">
        <v>192282.0</v>
      </c>
      <c r="Y70" s="6">
        <v>2.273252768E8</v>
      </c>
      <c r="Z70" s="4">
        <v>13.44734702</v>
      </c>
      <c r="AA70" s="4">
        <v>7.43641105</v>
      </c>
      <c r="AB70" s="8">
        <v>0.0189</v>
      </c>
      <c r="AC70" s="4" t="s">
        <v>48</v>
      </c>
      <c r="AD70" s="6">
        <v>66293.5</v>
      </c>
      <c r="AE70" s="6">
        <v>6965.32</v>
      </c>
      <c r="AF70" s="6">
        <v>66382.4</v>
      </c>
      <c r="AG70" s="6">
        <v>14642.27</v>
      </c>
      <c r="AH70" s="4">
        <v>0.7371802947</v>
      </c>
      <c r="AI70" s="4" t="s">
        <v>64</v>
      </c>
      <c r="AJ70" s="4">
        <v>2025.0</v>
      </c>
      <c r="AK70" s="6">
        <v>1.6904842E7</v>
      </c>
      <c r="AL70" s="6">
        <v>6965.32</v>
      </c>
      <c r="AM70" s="6">
        <v>5028.66</v>
      </c>
      <c r="AN70" s="8">
        <v>0.0385</v>
      </c>
      <c r="AO70" s="4">
        <v>61.4</v>
      </c>
      <c r="AP70" s="4">
        <v>0.7371802947</v>
      </c>
    </row>
    <row r="71">
      <c r="A71" s="4">
        <v>112.0</v>
      </c>
      <c r="B71" s="4" t="s">
        <v>264</v>
      </c>
      <c r="C71" s="4" t="s">
        <v>43</v>
      </c>
      <c r="D71" s="4" t="s">
        <v>265</v>
      </c>
      <c r="E71" s="4">
        <v>12.0</v>
      </c>
      <c r="F71" s="4" t="s">
        <v>262</v>
      </c>
      <c r="G71" s="4" t="s">
        <v>263</v>
      </c>
      <c r="H71" s="4">
        <v>-34.6764448</v>
      </c>
      <c r="I71" s="4">
        <v>-58.5878834</v>
      </c>
      <c r="J71" s="4">
        <v>151.0</v>
      </c>
      <c r="K71" s="4">
        <v>150.0</v>
      </c>
      <c r="L71" s="4">
        <v>170.0</v>
      </c>
      <c r="M71" s="4">
        <v>100.0</v>
      </c>
      <c r="N71" s="4">
        <v>2100.0</v>
      </c>
      <c r="O71" s="4">
        <v>88.0</v>
      </c>
      <c r="P71" s="4">
        <v>7750.0</v>
      </c>
      <c r="Q71" s="5">
        <v>3.218127901E7</v>
      </c>
      <c r="R71" s="6">
        <v>2.83E7</v>
      </c>
      <c r="S71" s="6">
        <v>2.9967822301E8</v>
      </c>
      <c r="T71" s="6">
        <v>1.150475493E9</v>
      </c>
      <c r="U71" s="4">
        <f t="shared" si="3"/>
        <v>0.7395179429</v>
      </c>
      <c r="V71" s="7">
        <v>1.3073585E7</v>
      </c>
      <c r="W71" s="4" t="s">
        <v>47</v>
      </c>
      <c r="X71" s="7">
        <v>148448.0</v>
      </c>
      <c r="Y71" s="6">
        <v>1.045886812E8</v>
      </c>
      <c r="Z71" s="4">
        <v>3.695713116</v>
      </c>
      <c r="AA71" s="4">
        <v>27.05837733</v>
      </c>
      <c r="AB71" s="8">
        <v>0.0104</v>
      </c>
      <c r="AC71" s="4" t="s">
        <v>48</v>
      </c>
      <c r="AD71" s="6">
        <v>187417.22</v>
      </c>
      <c r="AE71" s="6">
        <v>11660.49</v>
      </c>
      <c r="AF71" s="6">
        <v>66382.4</v>
      </c>
      <c r="AG71" s="6">
        <v>14642.27</v>
      </c>
      <c r="AH71" s="4">
        <v>1.809827349</v>
      </c>
      <c r="AI71" s="4" t="s">
        <v>49</v>
      </c>
      <c r="AJ71" s="4">
        <v>2025.0</v>
      </c>
      <c r="AK71" s="6">
        <v>2.83E7</v>
      </c>
      <c r="AL71" s="6">
        <v>11660.49</v>
      </c>
      <c r="AM71" s="6">
        <v>5028.66</v>
      </c>
      <c r="AN71" s="8">
        <v>0.1319</v>
      </c>
      <c r="AO71" s="4">
        <v>20.53</v>
      </c>
      <c r="AP71" s="4">
        <v>1.809827349</v>
      </c>
    </row>
    <row r="72">
      <c r="A72" s="4">
        <v>30.0</v>
      </c>
      <c r="B72" s="4" t="s">
        <v>266</v>
      </c>
      <c r="C72" s="4" t="s">
        <v>43</v>
      </c>
      <c r="D72" s="4" t="s">
        <v>267</v>
      </c>
      <c r="E72" s="4">
        <v>12.0</v>
      </c>
      <c r="F72" s="4" t="s">
        <v>268</v>
      </c>
      <c r="G72" s="4" t="s">
        <v>269</v>
      </c>
      <c r="H72" s="4">
        <v>-34.5680727</v>
      </c>
      <c r="I72" s="4">
        <v>-58.5909813</v>
      </c>
      <c r="J72" s="4">
        <v>191.0</v>
      </c>
      <c r="K72" s="4">
        <v>200.0</v>
      </c>
      <c r="L72" s="4">
        <v>170.0</v>
      </c>
      <c r="M72" s="4">
        <v>200.0</v>
      </c>
      <c r="N72" s="4">
        <v>2427.0</v>
      </c>
      <c r="O72" s="4">
        <v>96.0</v>
      </c>
      <c r="P72" s="4">
        <v>8745.0</v>
      </c>
      <c r="Q72" s="5">
        <v>6.9067809548E8</v>
      </c>
      <c r="R72" s="6">
        <v>8810084.0</v>
      </c>
      <c r="S72" s="6">
        <v>8.9353619948E8</v>
      </c>
      <c r="T72" s="6">
        <v>1.49310243E9</v>
      </c>
      <c r="U72" s="4">
        <f t="shared" si="3"/>
        <v>0.4015573336</v>
      </c>
      <c r="V72" s="7">
        <v>1.555315E7</v>
      </c>
      <c r="W72" s="4" t="s">
        <v>47</v>
      </c>
      <c r="X72" s="7">
        <v>170738.0</v>
      </c>
      <c r="Y72" s="6">
        <v>1.244252025E8</v>
      </c>
      <c r="Z72" s="4">
        <v>14.12304383</v>
      </c>
      <c r="AA72" s="4">
        <v>7.080626612</v>
      </c>
      <c r="AB72" s="8">
        <v>0.0093</v>
      </c>
      <c r="AC72" s="4" t="s">
        <v>58</v>
      </c>
      <c r="AD72" s="6">
        <v>46126.09</v>
      </c>
      <c r="AE72" s="6">
        <v>6468.49</v>
      </c>
      <c r="AF72" s="6">
        <v>72808.9</v>
      </c>
      <c r="AG72" s="6">
        <v>16888.33</v>
      </c>
      <c r="AH72" s="4">
        <v>0.5082691076</v>
      </c>
      <c r="AI72" s="4" t="s">
        <v>64</v>
      </c>
      <c r="AJ72" s="4">
        <v>2025.0</v>
      </c>
      <c r="AK72" s="6">
        <v>8810084.0</v>
      </c>
      <c r="AL72" s="6">
        <v>6468.49</v>
      </c>
      <c r="AM72" s="6">
        <v>8990.33</v>
      </c>
      <c r="AN72" s="8">
        <v>-0.0281</v>
      </c>
      <c r="AO72" s="4">
        <v>45.0</v>
      </c>
      <c r="AP72" s="4">
        <v>0.5082691076</v>
      </c>
    </row>
    <row r="73">
      <c r="A73" s="4">
        <v>32.0</v>
      </c>
      <c r="B73" s="4" t="s">
        <v>270</v>
      </c>
      <c r="C73" s="4" t="s">
        <v>43</v>
      </c>
      <c r="D73" s="4" t="s">
        <v>267</v>
      </c>
      <c r="E73" s="4">
        <v>11.0</v>
      </c>
      <c r="F73" s="4" t="s">
        <v>268</v>
      </c>
      <c r="G73" s="4" t="s">
        <v>269</v>
      </c>
      <c r="H73" s="4">
        <v>-34.5680727</v>
      </c>
      <c r="I73" s="4">
        <v>-58.5909813</v>
      </c>
      <c r="J73" s="4">
        <v>193.0</v>
      </c>
      <c r="K73" s="4">
        <v>180.0</v>
      </c>
      <c r="L73" s="4">
        <v>200.0</v>
      </c>
      <c r="M73" s="4">
        <v>250.0</v>
      </c>
      <c r="N73" s="4">
        <v>2427.0</v>
      </c>
      <c r="O73" s="4">
        <v>101.0</v>
      </c>
      <c r="P73" s="4">
        <v>9505.0</v>
      </c>
      <c r="Q73" s="5">
        <v>5.9484802626E8</v>
      </c>
      <c r="R73" s="6">
        <v>8810084.0</v>
      </c>
      <c r="S73" s="6">
        <v>9.0614802626E8</v>
      </c>
      <c r="T73" s="6">
        <v>1.46048863E9</v>
      </c>
      <c r="U73" s="4">
        <f t="shared" si="3"/>
        <v>0.3795583152</v>
      </c>
      <c r="V73" s="7">
        <v>1.4460283E7</v>
      </c>
      <c r="W73" s="4" t="s">
        <v>57</v>
      </c>
      <c r="X73" s="7">
        <v>153655.0</v>
      </c>
      <c r="Y73" s="6">
        <v>1.217073858E8</v>
      </c>
      <c r="Z73" s="4">
        <v>13.81455453</v>
      </c>
      <c r="AA73" s="4">
        <v>7.238742283</v>
      </c>
      <c r="AB73" s="8">
        <v>0.0101</v>
      </c>
      <c r="AC73" s="4" t="s">
        <v>58</v>
      </c>
      <c r="AD73" s="6">
        <v>45648.1</v>
      </c>
      <c r="AE73" s="6">
        <v>8722.86</v>
      </c>
      <c r="AF73" s="6">
        <v>72808.9</v>
      </c>
      <c r="AG73" s="6">
        <v>16888.33</v>
      </c>
      <c r="AH73" s="4">
        <v>0.5717299036</v>
      </c>
      <c r="AI73" s="4" t="s">
        <v>64</v>
      </c>
      <c r="AJ73" s="4">
        <v>2025.0</v>
      </c>
      <c r="AK73" s="6">
        <v>8810084.0</v>
      </c>
      <c r="AL73" s="6">
        <v>8722.86</v>
      </c>
      <c r="AM73" s="6">
        <v>8990.33</v>
      </c>
      <c r="AN73" s="8">
        <v>-0.003</v>
      </c>
      <c r="AO73" s="4">
        <v>44.79</v>
      </c>
      <c r="AP73" s="4">
        <v>0.5717299036</v>
      </c>
    </row>
    <row r="74">
      <c r="A74" s="4">
        <v>33.0</v>
      </c>
      <c r="B74" s="4" t="s">
        <v>271</v>
      </c>
      <c r="C74" s="4" t="s">
        <v>43</v>
      </c>
      <c r="D74" s="4" t="s">
        <v>267</v>
      </c>
      <c r="E74" s="4">
        <v>12.0</v>
      </c>
      <c r="F74" s="4" t="s">
        <v>268</v>
      </c>
      <c r="G74" s="4" t="s">
        <v>269</v>
      </c>
      <c r="H74" s="4">
        <v>-34.5680727</v>
      </c>
      <c r="I74" s="4">
        <v>-58.5909813</v>
      </c>
      <c r="J74" s="4">
        <v>177.0</v>
      </c>
      <c r="K74" s="4">
        <v>160.0</v>
      </c>
      <c r="L74" s="4">
        <v>200.0</v>
      </c>
      <c r="M74" s="4">
        <v>210.0</v>
      </c>
      <c r="N74" s="4">
        <v>2427.0</v>
      </c>
      <c r="O74" s="4">
        <v>82.0</v>
      </c>
      <c r="P74" s="4">
        <v>7241.0</v>
      </c>
      <c r="Q74" s="5">
        <v>5.3213115011E8</v>
      </c>
      <c r="R74" s="6">
        <v>8810084.0</v>
      </c>
      <c r="S74" s="6">
        <v>6.3785215811E8</v>
      </c>
      <c r="T74" s="6">
        <v>9.87450233E8</v>
      </c>
      <c r="U74" s="4">
        <f t="shared" si="3"/>
        <v>0.3540412096</v>
      </c>
      <c r="V74" s="7">
        <v>1.2042076E7</v>
      </c>
      <c r="W74" s="4" t="s">
        <v>47</v>
      </c>
      <c r="X74" s="7">
        <v>136369.0</v>
      </c>
      <c r="Y74" s="6">
        <v>8.228751942E7</v>
      </c>
      <c r="Z74" s="4">
        <v>9.340151515</v>
      </c>
      <c r="AA74" s="4">
        <v>10.70646443</v>
      </c>
      <c r="AB74" s="8">
        <v>0.0047</v>
      </c>
      <c r="AC74" s="4" t="s">
        <v>58</v>
      </c>
      <c r="AD74" s="6">
        <v>49774.49</v>
      </c>
      <c r="AE74" s="6">
        <v>11441.67</v>
      </c>
      <c r="AF74" s="6">
        <v>72808.9</v>
      </c>
      <c r="AG74" s="6">
        <v>16888.33</v>
      </c>
      <c r="AH74" s="4">
        <v>0.6805608096</v>
      </c>
      <c r="AI74" s="4" t="s">
        <v>64</v>
      </c>
      <c r="AJ74" s="4">
        <v>2025.0</v>
      </c>
      <c r="AK74" s="6">
        <v>8810084.0</v>
      </c>
      <c r="AL74" s="6">
        <v>11441.67</v>
      </c>
      <c r="AM74" s="6">
        <v>8990.33</v>
      </c>
      <c r="AN74" s="8">
        <v>0.0273</v>
      </c>
      <c r="AO74" s="4">
        <v>31.11</v>
      </c>
      <c r="AP74" s="4">
        <v>0.6805608096</v>
      </c>
    </row>
    <row r="75">
      <c r="A75" s="4">
        <v>35.0</v>
      </c>
      <c r="B75" s="4" t="s">
        <v>76</v>
      </c>
      <c r="C75" s="4" t="s">
        <v>43</v>
      </c>
      <c r="D75" s="4" t="s">
        <v>272</v>
      </c>
      <c r="E75" s="4">
        <v>12.0</v>
      </c>
      <c r="F75" s="4" t="s">
        <v>273</v>
      </c>
      <c r="G75" s="4" t="s">
        <v>76</v>
      </c>
      <c r="H75" s="4">
        <v>-34.5544768</v>
      </c>
      <c r="I75" s="4">
        <v>-58.7173796</v>
      </c>
      <c r="J75" s="4">
        <v>345.0</v>
      </c>
      <c r="K75" s="4">
        <v>250.0</v>
      </c>
      <c r="L75" s="4">
        <v>500.0</v>
      </c>
      <c r="M75" s="4">
        <v>450.0</v>
      </c>
      <c r="N75" s="4">
        <v>1362.0</v>
      </c>
      <c r="O75" s="4">
        <v>130.0</v>
      </c>
      <c r="P75" s="4">
        <v>12045.0</v>
      </c>
      <c r="Q75" s="5">
        <v>9.4784860501E8</v>
      </c>
      <c r="R75" s="6">
        <v>3.0096243E7</v>
      </c>
      <c r="S75" s="6">
        <v>1.05356961301E9</v>
      </c>
      <c r="T75" s="6">
        <v>2.549987683E9</v>
      </c>
      <c r="U75" s="4">
        <f t="shared" si="3"/>
        <v>0.5868334502</v>
      </c>
      <c r="V75" s="7">
        <v>1.961529E7</v>
      </c>
      <c r="W75" s="4" t="s">
        <v>57</v>
      </c>
      <c r="X75" s="7">
        <v>211705.0</v>
      </c>
      <c r="Y75" s="6">
        <v>2.124989736E8</v>
      </c>
      <c r="Z75" s="4">
        <v>7.060647855</v>
      </c>
      <c r="AA75" s="4">
        <v>14.16300629</v>
      </c>
      <c r="AB75" s="8">
        <v>0.0165</v>
      </c>
      <c r="AC75" s="4" t="s">
        <v>58</v>
      </c>
      <c r="AD75" s="6">
        <v>87235.49</v>
      </c>
      <c r="AE75" s="6">
        <v>72521.07</v>
      </c>
      <c r="AF75" s="6">
        <v>72808.9</v>
      </c>
      <c r="AG75" s="6">
        <v>16888.33</v>
      </c>
      <c r="AH75" s="4">
        <v>2.746148519</v>
      </c>
      <c r="AI75" s="4" t="s">
        <v>49</v>
      </c>
      <c r="AJ75" s="4">
        <v>2025.0</v>
      </c>
      <c r="AK75" s="6">
        <v>3.0096243E7</v>
      </c>
      <c r="AL75" s="6">
        <v>72521.07</v>
      </c>
      <c r="AM75" s="6">
        <v>8990.33</v>
      </c>
      <c r="AN75" s="8">
        <v>0.7067</v>
      </c>
      <c r="AO75" s="4">
        <v>51.09</v>
      </c>
      <c r="AP75" s="4">
        <v>2.746148519</v>
      </c>
    </row>
    <row r="76">
      <c r="A76" s="4">
        <v>21.0</v>
      </c>
      <c r="B76" s="4" t="s">
        <v>274</v>
      </c>
      <c r="C76" s="4" t="s">
        <v>43</v>
      </c>
      <c r="D76" s="4" t="s">
        <v>275</v>
      </c>
      <c r="E76" s="4">
        <v>12.0</v>
      </c>
      <c r="F76" s="4" t="s">
        <v>276</v>
      </c>
      <c r="G76" s="4" t="s">
        <v>227</v>
      </c>
      <c r="H76" s="4">
        <v>-34.6118265</v>
      </c>
      <c r="I76" s="4">
        <v>-58.3747174</v>
      </c>
      <c r="J76" s="4">
        <v>175.0</v>
      </c>
      <c r="K76" s="4">
        <v>120.0</v>
      </c>
      <c r="L76" s="4">
        <v>300.0</v>
      </c>
      <c r="M76" s="4">
        <v>130.0</v>
      </c>
      <c r="N76" s="4">
        <v>1010.0</v>
      </c>
      <c r="O76" s="4">
        <v>114.0</v>
      </c>
      <c r="P76" s="4">
        <v>10015.0</v>
      </c>
      <c r="Q76" s="5">
        <v>6.9496066398E8</v>
      </c>
      <c r="R76" s="6">
        <v>2.5811632E7</v>
      </c>
      <c r="S76" s="6">
        <v>8.0068167198E8</v>
      </c>
      <c r="T76" s="6">
        <v>1.602154122E9</v>
      </c>
      <c r="U76" s="4">
        <f t="shared" si="3"/>
        <v>0.5002467859</v>
      </c>
      <c r="V76" s="7">
        <v>1.4053984E7</v>
      </c>
      <c r="W76" s="4" t="s">
        <v>57</v>
      </c>
      <c r="X76" s="7">
        <v>159975.0</v>
      </c>
      <c r="Y76" s="6">
        <v>1.335128435E8</v>
      </c>
      <c r="Z76" s="4">
        <v>5.172584341</v>
      </c>
      <c r="AA76" s="4">
        <v>19.33269588</v>
      </c>
      <c r="AB76" s="8">
        <v>0.008</v>
      </c>
      <c r="AC76" s="4" t="s">
        <v>73</v>
      </c>
      <c r="AD76" s="6">
        <v>147495.04</v>
      </c>
      <c r="AE76" s="6">
        <v>54918.37</v>
      </c>
      <c r="AF76" s="6">
        <v>85028.56</v>
      </c>
      <c r="AG76" s="6">
        <v>34134.85</v>
      </c>
      <c r="AH76" s="4">
        <v>1.671759024</v>
      </c>
      <c r="AI76" s="4" t="s">
        <v>49</v>
      </c>
      <c r="AJ76" s="4">
        <v>2025.0</v>
      </c>
      <c r="AK76" s="6">
        <v>2.5811632E7</v>
      </c>
      <c r="AL76" s="6">
        <v>54918.37</v>
      </c>
      <c r="AM76" s="6">
        <v>18972.12</v>
      </c>
      <c r="AN76" s="8">
        <v>0.1895</v>
      </c>
      <c r="AO76" s="4">
        <v>27.12</v>
      </c>
      <c r="AP76" s="4">
        <v>1.671759024</v>
      </c>
    </row>
    <row r="77">
      <c r="A77" s="4">
        <v>76.0</v>
      </c>
      <c r="B77" s="4" t="s">
        <v>277</v>
      </c>
      <c r="C77" s="4" t="s">
        <v>43</v>
      </c>
      <c r="D77" s="4" t="s">
        <v>278</v>
      </c>
      <c r="E77" s="4">
        <v>12.0</v>
      </c>
      <c r="F77" s="4" t="s">
        <v>279</v>
      </c>
      <c r="G77" s="4" t="s">
        <v>274</v>
      </c>
      <c r="H77" s="4">
        <v>-34.6115255</v>
      </c>
      <c r="I77" s="4">
        <v>-58.3738978</v>
      </c>
      <c r="J77" s="4">
        <v>280.0</v>
      </c>
      <c r="K77" s="4">
        <v>180.0</v>
      </c>
      <c r="L77" s="4">
        <v>500.0</v>
      </c>
      <c r="M77" s="4">
        <v>220.0</v>
      </c>
      <c r="N77" s="4">
        <v>770.0</v>
      </c>
      <c r="O77" s="4">
        <v>84.0</v>
      </c>
      <c r="P77" s="4">
        <v>9460.0</v>
      </c>
      <c r="Q77" s="5">
        <v>4.9106068377E8</v>
      </c>
      <c r="R77" s="6">
        <v>2.4069582E7</v>
      </c>
      <c r="S77" s="6">
        <v>8.5221559977E8</v>
      </c>
      <c r="T77" s="6">
        <v>1.402370488E9</v>
      </c>
      <c r="U77" s="4">
        <f t="shared" si="3"/>
        <v>0.3923035267</v>
      </c>
      <c r="V77" s="7">
        <v>1.6694887E7</v>
      </c>
      <c r="W77" s="4" t="s">
        <v>47</v>
      </c>
      <c r="X77" s="7">
        <v>148242.0</v>
      </c>
      <c r="Y77" s="6">
        <v>1.168642073E8</v>
      </c>
      <c r="Z77" s="4">
        <v>4.855265344</v>
      </c>
      <c r="AA77" s="4">
        <v>20.59619669</v>
      </c>
      <c r="AB77" s="8">
        <v>0.0083</v>
      </c>
      <c r="AC77" s="4" t="s">
        <v>73</v>
      </c>
      <c r="AD77" s="6">
        <v>85962.79</v>
      </c>
      <c r="AE77" s="6">
        <v>15528.76</v>
      </c>
      <c r="AF77" s="6">
        <v>85028.56</v>
      </c>
      <c r="AG77" s="6">
        <v>34134.85</v>
      </c>
      <c r="AH77" s="4">
        <v>0.7329556687</v>
      </c>
      <c r="AI77" s="4" t="s">
        <v>64</v>
      </c>
      <c r="AJ77" s="4">
        <v>2025.0</v>
      </c>
      <c r="AK77" s="6">
        <v>2.4069582E7</v>
      </c>
      <c r="AL77" s="6">
        <v>15528.76</v>
      </c>
      <c r="AM77" s="6">
        <v>18972.12</v>
      </c>
      <c r="AN77" s="8">
        <v>-0.0181</v>
      </c>
      <c r="AO77" s="4">
        <v>26.99</v>
      </c>
      <c r="AP77" s="4">
        <v>0.7329556687</v>
      </c>
    </row>
    <row r="78">
      <c r="A78" s="4">
        <v>62.0</v>
      </c>
      <c r="B78" s="4" t="s">
        <v>280</v>
      </c>
      <c r="C78" s="4" t="s">
        <v>43</v>
      </c>
      <c r="D78" s="4" t="s">
        <v>281</v>
      </c>
      <c r="E78" s="4">
        <v>12.0</v>
      </c>
      <c r="F78" s="4" t="s">
        <v>282</v>
      </c>
      <c r="G78" s="4" t="s">
        <v>227</v>
      </c>
      <c r="H78" s="4">
        <v>-34.6149179</v>
      </c>
      <c r="I78" s="4">
        <v>-58.37115</v>
      </c>
      <c r="J78" s="4">
        <v>188.0</v>
      </c>
      <c r="K78" s="4">
        <v>120.0</v>
      </c>
      <c r="L78" s="4">
        <v>300.0</v>
      </c>
      <c r="M78" s="4">
        <v>260.0</v>
      </c>
      <c r="N78" s="4">
        <v>415.0</v>
      </c>
      <c r="O78" s="4">
        <v>123.0</v>
      </c>
      <c r="P78" s="4">
        <v>11498.0</v>
      </c>
      <c r="Q78" s="5">
        <v>6.1824087176E8</v>
      </c>
      <c r="R78" s="6">
        <v>2.5291653E7</v>
      </c>
      <c r="S78" s="6">
        <v>9.2798045576E8</v>
      </c>
      <c r="T78" s="6">
        <v>1.526807158E9</v>
      </c>
      <c r="U78" s="4">
        <f t="shared" si="3"/>
        <v>0.3922084718</v>
      </c>
      <c r="V78" s="7">
        <v>1.2413066E7</v>
      </c>
      <c r="W78" s="4" t="s">
        <v>57</v>
      </c>
      <c r="X78" s="7">
        <v>132789.0</v>
      </c>
      <c r="Y78" s="6">
        <v>1.272339298E8</v>
      </c>
      <c r="Z78" s="4">
        <v>5.030668807</v>
      </c>
      <c r="AA78" s="4">
        <v>19.87807264</v>
      </c>
      <c r="AB78" s="8">
        <v>0.0081</v>
      </c>
      <c r="AC78" s="4" t="s">
        <v>73</v>
      </c>
      <c r="AD78" s="6">
        <v>134530.07</v>
      </c>
      <c r="AE78" s="6">
        <v>37748.74</v>
      </c>
      <c r="AF78" s="6">
        <v>85028.56</v>
      </c>
      <c r="AG78" s="6">
        <v>34134.85</v>
      </c>
      <c r="AH78" s="4">
        <v>1.344023017</v>
      </c>
      <c r="AI78" s="4" t="s">
        <v>49</v>
      </c>
      <c r="AJ78" s="4">
        <v>2025.0</v>
      </c>
      <c r="AK78" s="6">
        <v>2.5291653E7</v>
      </c>
      <c r="AL78" s="6">
        <v>37748.74</v>
      </c>
      <c r="AM78" s="6">
        <v>18972.12</v>
      </c>
      <c r="AN78" s="8">
        <v>0.099</v>
      </c>
      <c r="AO78" s="4">
        <v>25.37</v>
      </c>
      <c r="AP78" s="4">
        <v>1.344023017</v>
      </c>
    </row>
    <row r="79">
      <c r="A79" s="4">
        <v>90.0</v>
      </c>
      <c r="B79" s="4" t="s">
        <v>283</v>
      </c>
      <c r="C79" s="4" t="s">
        <v>43</v>
      </c>
      <c r="D79" s="4" t="s">
        <v>284</v>
      </c>
      <c r="E79" s="4">
        <v>12.0</v>
      </c>
      <c r="F79" s="4" t="s">
        <v>285</v>
      </c>
      <c r="G79" s="4" t="s">
        <v>283</v>
      </c>
      <c r="H79" s="4">
        <v>-34.7853078</v>
      </c>
      <c r="I79" s="4">
        <v>-58.4061102</v>
      </c>
      <c r="J79" s="4">
        <v>187.0</v>
      </c>
      <c r="K79" s="4">
        <v>140.0</v>
      </c>
      <c r="L79" s="4">
        <v>300.0</v>
      </c>
      <c r="M79" s="4">
        <v>130.0</v>
      </c>
      <c r="N79" s="4">
        <v>470.0</v>
      </c>
      <c r="O79" s="4">
        <v>122.0</v>
      </c>
      <c r="P79" s="4">
        <v>11562.0</v>
      </c>
      <c r="Q79" s="5">
        <v>6.1686681337E8</v>
      </c>
      <c r="R79" s="6">
        <v>2.1571089E7</v>
      </c>
      <c r="S79" s="6">
        <v>9.0570179737E8</v>
      </c>
      <c r="T79" s="6">
        <v>1.93277883E9</v>
      </c>
      <c r="U79" s="4">
        <f t="shared" si="3"/>
        <v>0.5313991527</v>
      </c>
      <c r="V79" s="7">
        <v>1.5842449E7</v>
      </c>
      <c r="W79" s="4" t="s">
        <v>47</v>
      </c>
      <c r="X79" s="7">
        <v>167166.0</v>
      </c>
      <c r="Y79" s="6">
        <v>1.610649025E8</v>
      </c>
      <c r="Z79" s="4">
        <v>7.466702423</v>
      </c>
      <c r="AA79" s="4">
        <v>13.39279301</v>
      </c>
      <c r="AB79" s="8">
        <v>0.0141</v>
      </c>
      <c r="AC79" s="4" t="s">
        <v>48</v>
      </c>
      <c r="AD79" s="6">
        <v>115353.42</v>
      </c>
      <c r="AE79" s="6">
        <v>43142.18</v>
      </c>
      <c r="AF79" s="6">
        <v>66382.4</v>
      </c>
      <c r="AG79" s="6">
        <v>14642.27</v>
      </c>
      <c r="AH79" s="4">
        <v>2.342062382</v>
      </c>
      <c r="AI79" s="4" t="s">
        <v>49</v>
      </c>
      <c r="AJ79" s="4">
        <v>2025.0</v>
      </c>
      <c r="AK79" s="6">
        <v>2.1571089E7</v>
      </c>
      <c r="AL79" s="6">
        <v>43142.18</v>
      </c>
      <c r="AM79" s="6">
        <v>5028.66</v>
      </c>
      <c r="AN79" s="8">
        <v>0.7579</v>
      </c>
      <c r="AO79" s="4">
        <v>44.57</v>
      </c>
      <c r="AP79" s="4">
        <v>2.342062382</v>
      </c>
    </row>
    <row r="80">
      <c r="A80" s="4">
        <v>22.0</v>
      </c>
      <c r="B80" s="4" t="s">
        <v>286</v>
      </c>
      <c r="C80" s="4" t="s">
        <v>43</v>
      </c>
      <c r="D80" s="4" t="s">
        <v>287</v>
      </c>
      <c r="E80" s="4">
        <v>12.0</v>
      </c>
      <c r="F80" s="4" t="s">
        <v>288</v>
      </c>
      <c r="G80" s="4" t="s">
        <v>289</v>
      </c>
      <c r="H80" s="4">
        <v>-34.5172987</v>
      </c>
      <c r="I80" s="4">
        <v>-58.4792662</v>
      </c>
      <c r="J80" s="4">
        <v>194.0</v>
      </c>
      <c r="K80" s="4">
        <v>190.0</v>
      </c>
      <c r="L80" s="4">
        <v>200.0</v>
      </c>
      <c r="M80" s="4">
        <v>200.0</v>
      </c>
      <c r="N80" s="4">
        <v>1550.0</v>
      </c>
      <c r="O80" s="4">
        <v>96.0</v>
      </c>
      <c r="P80" s="4">
        <v>9449.0</v>
      </c>
      <c r="Q80" s="5">
        <v>7.5265296827E8</v>
      </c>
      <c r="R80" s="6">
        <v>1.5984986E7</v>
      </c>
      <c r="S80" s="6">
        <v>1.05615280427E9</v>
      </c>
      <c r="T80" s="6">
        <v>1.622347152E9</v>
      </c>
      <c r="U80" s="4">
        <f t="shared" si="3"/>
        <v>0.3489970362</v>
      </c>
      <c r="V80" s="7">
        <v>1.689945E7</v>
      </c>
      <c r="W80" s="4" t="s">
        <v>57</v>
      </c>
      <c r="X80" s="7">
        <v>171695.0</v>
      </c>
      <c r="Y80" s="6">
        <v>1.35195596E8</v>
      </c>
      <c r="Z80" s="4">
        <v>8.457661208</v>
      </c>
      <c r="AA80" s="4">
        <v>11.82359964</v>
      </c>
      <c r="AB80" s="8">
        <v>0.009</v>
      </c>
      <c r="AC80" s="4" t="s">
        <v>81</v>
      </c>
      <c r="AD80" s="6">
        <v>82396.84</v>
      </c>
      <c r="AE80" s="6">
        <v>8621.89</v>
      </c>
      <c r="AF80" s="6">
        <v>68588.96</v>
      </c>
      <c r="AG80" s="6">
        <v>16616.31</v>
      </c>
      <c r="AH80" s="4">
        <v>0.8600972274</v>
      </c>
      <c r="AI80" s="4" t="s">
        <v>52</v>
      </c>
      <c r="AJ80" s="4">
        <v>2025.0</v>
      </c>
      <c r="AK80" s="6">
        <v>1.5984986E7</v>
      </c>
      <c r="AL80" s="6">
        <v>8621.89</v>
      </c>
      <c r="AM80" s="6">
        <v>25531.22</v>
      </c>
      <c r="AN80" s="8">
        <v>-0.0662</v>
      </c>
      <c r="AO80" s="4">
        <v>39.65</v>
      </c>
      <c r="AP80" s="4">
        <v>0.8600972274</v>
      </c>
    </row>
    <row r="81">
      <c r="A81" s="4">
        <v>114.0</v>
      </c>
      <c r="B81" s="4" t="s">
        <v>290</v>
      </c>
      <c r="C81" s="4" t="s">
        <v>43</v>
      </c>
      <c r="D81" s="4" t="s">
        <v>291</v>
      </c>
      <c r="E81" s="4">
        <v>12.0</v>
      </c>
      <c r="F81" s="4" t="s">
        <v>292</v>
      </c>
      <c r="G81" s="4" t="s">
        <v>290</v>
      </c>
      <c r="H81" s="4">
        <v>-34.5145588</v>
      </c>
      <c r="I81" s="4">
        <v>-58.6821507</v>
      </c>
      <c r="J81" s="4">
        <v>246.0</v>
      </c>
      <c r="K81" s="4">
        <v>160.0</v>
      </c>
      <c r="L81" s="4">
        <v>400.0</v>
      </c>
      <c r="M81" s="4">
        <v>300.0</v>
      </c>
      <c r="N81" s="4">
        <v>670.0</v>
      </c>
      <c r="O81" s="4">
        <v>94.0</v>
      </c>
      <c r="P81" s="4">
        <v>9248.0</v>
      </c>
      <c r="Q81" s="5">
        <v>9.41709941E7</v>
      </c>
      <c r="R81" s="6">
        <v>1.1235742E7</v>
      </c>
      <c r="S81" s="6">
        <v>3.530240621E8</v>
      </c>
      <c r="T81" s="6">
        <v>1.386426844E9</v>
      </c>
      <c r="U81" s="4">
        <f t="shared" si="3"/>
        <v>0.745371302</v>
      </c>
      <c r="V81" s="7">
        <v>1.4749222E7</v>
      </c>
      <c r="W81" s="4" t="s">
        <v>47</v>
      </c>
      <c r="X81" s="7">
        <v>149916.0</v>
      </c>
      <c r="Y81" s="6">
        <v>1.26038804E8</v>
      </c>
      <c r="Z81" s="4">
        <v>11.21766627</v>
      </c>
      <c r="AA81" s="4">
        <v>8.914510169</v>
      </c>
      <c r="AB81" s="8">
        <v>0.0154</v>
      </c>
      <c r="AC81" s="4" t="s">
        <v>48</v>
      </c>
      <c r="AD81" s="6">
        <v>45673.75</v>
      </c>
      <c r="AE81" s="6">
        <v>19173.62</v>
      </c>
      <c r="AF81" s="6">
        <v>66382.4</v>
      </c>
      <c r="AG81" s="6">
        <v>14642.27</v>
      </c>
      <c r="AH81" s="4">
        <v>0.9987554332</v>
      </c>
      <c r="AI81" s="4" t="s">
        <v>52</v>
      </c>
      <c r="AJ81" s="4">
        <v>2025.0</v>
      </c>
      <c r="AK81" s="6">
        <v>1.1235742E7</v>
      </c>
      <c r="AL81" s="6">
        <v>19173.62</v>
      </c>
      <c r="AM81" s="6">
        <v>5028.66</v>
      </c>
      <c r="AN81" s="8">
        <v>0.2813</v>
      </c>
      <c r="AO81" s="4">
        <v>50.66</v>
      </c>
      <c r="AP81" s="4">
        <v>0.9987554332</v>
      </c>
    </row>
    <row r="82">
      <c r="A82" s="4">
        <v>115.0</v>
      </c>
      <c r="B82" s="4" t="s">
        <v>293</v>
      </c>
      <c r="C82" s="4" t="s">
        <v>43</v>
      </c>
      <c r="D82" s="4" t="s">
        <v>294</v>
      </c>
      <c r="E82" s="4">
        <v>12.0</v>
      </c>
      <c r="F82" s="4" t="s">
        <v>292</v>
      </c>
      <c r="G82" s="4" t="s">
        <v>290</v>
      </c>
      <c r="H82" s="4">
        <v>-34.5148425</v>
      </c>
      <c r="I82" s="4">
        <v>-58.6820472</v>
      </c>
      <c r="J82" s="4">
        <v>199.0</v>
      </c>
      <c r="K82" s="4">
        <v>140.0</v>
      </c>
      <c r="L82" s="4">
        <v>300.0</v>
      </c>
      <c r="M82" s="4">
        <v>250.0</v>
      </c>
      <c r="N82" s="4">
        <v>500.0</v>
      </c>
      <c r="O82" s="4">
        <v>90.0</v>
      </c>
      <c r="P82" s="4">
        <v>8107.0</v>
      </c>
      <c r="Q82" s="5">
        <v>6.389950414E7</v>
      </c>
      <c r="R82" s="6">
        <v>1.1235742E7</v>
      </c>
      <c r="S82" s="6">
        <v>2.5571933614E8</v>
      </c>
      <c r="T82" s="6">
        <v>1.047227063E9</v>
      </c>
      <c r="U82" s="4">
        <f t="shared" si="3"/>
        <v>0.7558129033</v>
      </c>
      <c r="V82" s="7">
        <v>1.1635856E7</v>
      </c>
      <c r="W82" s="4" t="s">
        <v>47</v>
      </c>
      <c r="X82" s="7">
        <v>129176.0</v>
      </c>
      <c r="Y82" s="6">
        <v>1.047227063E8</v>
      </c>
      <c r="Z82" s="4">
        <v>9.320497596</v>
      </c>
      <c r="AA82" s="4">
        <v>10.72904091</v>
      </c>
      <c r="AB82" s="8">
        <v>0.0113</v>
      </c>
      <c r="AC82" s="4" t="s">
        <v>48</v>
      </c>
      <c r="AD82" s="6">
        <v>56461.02</v>
      </c>
      <c r="AE82" s="6">
        <v>697.87</v>
      </c>
      <c r="AF82" s="6">
        <v>66382.4</v>
      </c>
      <c r="AG82" s="6">
        <v>14642.27</v>
      </c>
      <c r="AH82" s="4">
        <v>0.44910169</v>
      </c>
      <c r="AI82" s="4" t="s">
        <v>64</v>
      </c>
      <c r="AJ82" s="4">
        <v>2025.0</v>
      </c>
      <c r="AK82" s="6">
        <v>1.1235742E7</v>
      </c>
      <c r="AL82" s="6">
        <v>697.87</v>
      </c>
      <c r="AM82" s="6">
        <v>5028.66</v>
      </c>
      <c r="AN82" s="8">
        <v>-0.0861</v>
      </c>
      <c r="AO82" s="4">
        <v>40.79</v>
      </c>
      <c r="AP82" s="4">
        <v>0.44910169</v>
      </c>
    </row>
    <row r="83">
      <c r="A83" s="4">
        <v>82.0</v>
      </c>
      <c r="B83" s="4" t="s">
        <v>295</v>
      </c>
      <c r="C83" s="4" t="s">
        <v>296</v>
      </c>
      <c r="D83" s="4" t="s">
        <v>297</v>
      </c>
      <c r="E83" s="4">
        <v>0.0</v>
      </c>
      <c r="F83" s="4" t="s">
        <v>189</v>
      </c>
      <c r="G83" s="4" t="s">
        <v>210</v>
      </c>
      <c r="H83" s="4">
        <v>-34.5270668</v>
      </c>
      <c r="I83" s="4">
        <v>-58.4571677</v>
      </c>
    </row>
    <row r="84">
      <c r="A84" s="4">
        <v>102.0</v>
      </c>
      <c r="B84" s="4" t="s">
        <v>298</v>
      </c>
      <c r="C84" s="4" t="s">
        <v>296</v>
      </c>
      <c r="D84" s="4" t="s">
        <v>299</v>
      </c>
      <c r="E84" s="4">
        <v>0.0</v>
      </c>
      <c r="F84" s="4" t="s">
        <v>300</v>
      </c>
      <c r="G84" s="4" t="s">
        <v>301</v>
      </c>
      <c r="H84" s="4">
        <v>-34.7215238</v>
      </c>
      <c r="I84" s="4">
        <v>-58.6436412</v>
      </c>
    </row>
    <row r="85">
      <c r="A85" s="4">
        <v>117.0</v>
      </c>
      <c r="B85" s="4" t="s">
        <v>302</v>
      </c>
      <c r="C85" s="4" t="s">
        <v>303</v>
      </c>
      <c r="D85" s="4" t="s">
        <v>304</v>
      </c>
      <c r="E85" s="4">
        <v>0.0</v>
      </c>
      <c r="F85" s="4" t="s">
        <v>305</v>
      </c>
      <c r="G85" s="4" t="s">
        <v>306</v>
      </c>
      <c r="H85" s="4">
        <v>-34.594363</v>
      </c>
      <c r="I85" s="4">
        <v>-58.940487</v>
      </c>
    </row>
    <row r="86">
      <c r="A86" s="4">
        <v>94.0</v>
      </c>
      <c r="B86" s="4" t="s">
        <v>307</v>
      </c>
      <c r="C86" s="4" t="s">
        <v>296</v>
      </c>
      <c r="D86" s="4" t="s">
        <v>308</v>
      </c>
      <c r="E86" s="4">
        <v>0.0</v>
      </c>
      <c r="F86" s="4" t="s">
        <v>309</v>
      </c>
      <c r="G86" s="4" t="s">
        <v>247</v>
      </c>
      <c r="H86" s="4">
        <v>-34.7337908</v>
      </c>
      <c r="I86" s="4">
        <v>-58.5199157</v>
      </c>
    </row>
    <row r="87">
      <c r="A87" s="4">
        <v>98.0</v>
      </c>
      <c r="B87" s="4" t="s">
        <v>310</v>
      </c>
      <c r="C87" s="4" t="s">
        <v>296</v>
      </c>
      <c r="D87" s="4" t="s">
        <v>308</v>
      </c>
      <c r="E87" s="4">
        <v>0.0</v>
      </c>
      <c r="F87" s="4" t="s">
        <v>309</v>
      </c>
      <c r="G87" s="4" t="s">
        <v>247</v>
      </c>
      <c r="H87" s="4">
        <v>-34.7337908</v>
      </c>
      <c r="I87" s="4">
        <v>-58.5199157</v>
      </c>
    </row>
    <row r="88">
      <c r="A88" s="4">
        <v>129.0</v>
      </c>
      <c r="B88" s="4" t="s">
        <v>311</v>
      </c>
      <c r="C88" s="4" t="s">
        <v>296</v>
      </c>
      <c r="D88" s="4" t="s">
        <v>312</v>
      </c>
      <c r="E88" s="4">
        <v>0.0</v>
      </c>
      <c r="F88" s="4" t="s">
        <v>313</v>
      </c>
      <c r="G88" s="4" t="s">
        <v>314</v>
      </c>
      <c r="H88" s="4">
        <v>-35.2495308</v>
      </c>
      <c r="I88" s="4">
        <v>-59.2241341</v>
      </c>
    </row>
    <row r="89">
      <c r="A89" s="4">
        <v>133.0</v>
      </c>
      <c r="B89" s="4" t="s">
        <v>315</v>
      </c>
      <c r="C89" s="4" t="s">
        <v>303</v>
      </c>
      <c r="D89" s="4" t="s">
        <v>316</v>
      </c>
      <c r="E89" s="4">
        <v>0.0</v>
      </c>
      <c r="F89" s="4" t="s">
        <v>317</v>
      </c>
      <c r="G89" s="4" t="s">
        <v>154</v>
      </c>
      <c r="H89" s="4">
        <v>-34.9204885</v>
      </c>
      <c r="I89" s="4">
        <v>-57.9151289</v>
      </c>
    </row>
    <row r="90">
      <c r="A90" s="4">
        <v>134.0</v>
      </c>
      <c r="B90" s="4" t="s">
        <v>318</v>
      </c>
      <c r="C90" s="4" t="s">
        <v>303</v>
      </c>
      <c r="D90" s="4" t="s">
        <v>316</v>
      </c>
      <c r="E90" s="4">
        <v>0.0</v>
      </c>
      <c r="F90" s="4" t="s">
        <v>178</v>
      </c>
      <c r="G90" s="4" t="s">
        <v>154</v>
      </c>
      <c r="H90" s="4">
        <v>-34.9207701</v>
      </c>
      <c r="I90" s="4">
        <v>-57.9351125</v>
      </c>
    </row>
    <row r="91">
      <c r="A91" s="4">
        <v>119.0</v>
      </c>
      <c r="B91" s="4" t="s">
        <v>319</v>
      </c>
      <c r="C91" s="4" t="s">
        <v>303</v>
      </c>
      <c r="D91" s="4" t="s">
        <v>320</v>
      </c>
      <c r="E91" s="4">
        <v>0.0</v>
      </c>
      <c r="F91" s="4" t="s">
        <v>321</v>
      </c>
      <c r="G91" s="4" t="s">
        <v>186</v>
      </c>
      <c r="H91" s="4">
        <v>-34.7571014</v>
      </c>
      <c r="I91" s="4">
        <v>-58.3958724</v>
      </c>
    </row>
    <row r="92">
      <c r="A92" s="4">
        <v>99.0</v>
      </c>
      <c r="B92" s="4" t="s">
        <v>322</v>
      </c>
      <c r="C92" s="4" t="s">
        <v>296</v>
      </c>
      <c r="D92" s="4" t="s">
        <v>323</v>
      </c>
      <c r="E92" s="4">
        <v>0.0</v>
      </c>
      <c r="F92" s="4" t="s">
        <v>238</v>
      </c>
      <c r="G92" s="4" t="s">
        <v>190</v>
      </c>
      <c r="H92" s="4">
        <v>-37.8692632038807</v>
      </c>
      <c r="I92" s="4">
        <v>-57.5040381217154</v>
      </c>
    </row>
    <row r="93">
      <c r="A93" s="4">
        <v>7.0</v>
      </c>
      <c r="B93" s="4" t="s">
        <v>324</v>
      </c>
      <c r="C93" s="4" t="s">
        <v>296</v>
      </c>
      <c r="D93" s="4" t="s">
        <v>325</v>
      </c>
      <c r="E93" s="4">
        <v>0.0</v>
      </c>
      <c r="F93" s="4" t="s">
        <v>326</v>
      </c>
      <c r="G93" s="4" t="s">
        <v>133</v>
      </c>
      <c r="H93" s="4">
        <v>-34.4692568</v>
      </c>
      <c r="I93" s="4">
        <v>-58.7977026</v>
      </c>
    </row>
    <row r="94">
      <c r="A94" s="4">
        <v>122.0</v>
      </c>
      <c r="B94" s="4" t="s">
        <v>121</v>
      </c>
      <c r="C94" s="4" t="s">
        <v>303</v>
      </c>
      <c r="D94" s="4" t="s">
        <v>327</v>
      </c>
      <c r="E94" s="4">
        <v>0.0</v>
      </c>
      <c r="F94" s="4" t="s">
        <v>328</v>
      </c>
      <c r="G94" s="4" t="s">
        <v>121</v>
      </c>
      <c r="H94" s="4">
        <v>-34.5860662</v>
      </c>
      <c r="I94" s="4">
        <v>-58.3923</v>
      </c>
    </row>
  </sheetData>
  <drawing r:id="rId1"/>
</worksheet>
</file>